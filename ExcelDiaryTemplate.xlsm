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C:\Users\Alan\Downloads\"/>
    </mc:Choice>
  </mc:AlternateContent>
  <xr:revisionPtr revIDLastSave="0" documentId="8_{006C1665-136B-4064-9E44-BA3C985CE90D}" xr6:coauthVersionLast="45" xr6:coauthVersionMax="45" xr10:uidLastSave="{00000000-0000-0000-0000-000000000000}"/>
  <bookViews>
    <workbookView xWindow="-93" yWindow="-93" windowWidth="18426" windowHeight="11746" tabRatio="596" xr2:uid="{00000000-000D-0000-FFFF-FFFF00000000}"/>
  </bookViews>
  <sheets>
    <sheet name="Diary" sheetId="2" r:id="rId1"/>
    <sheet name="Flash1" sheetId="19" r:id="rId2"/>
    <sheet name="Projekt Infos" sheetId="1" r:id="rId3"/>
    <sheet name="formulas" sheetId="26" r:id="rId4"/>
    <sheet name="Gantt" sheetId="24" r:id="rId5"/>
    <sheet name="My Weight" sheetId="32" r:id="rId6"/>
  </sheets>
  <definedNames>
    <definedName name="_xlnm._FilterDatabase" localSheetId="0" hidden="1">Diary!$A$1:$N$35</definedName>
    <definedName name="_xlnm._FilterDatabase" localSheetId="1" hidden="1">Flash1!$A$1:$Q$12</definedName>
    <definedName name="_MailEndCompose" localSheetId="0">Diary!#REF!</definedName>
    <definedName name="prevWBS" localSheetId="4">Gantt!$A1048576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6" i="2" l="1"/>
  <c r="B37" i="2"/>
  <c r="B38" i="2"/>
  <c r="B39" i="2"/>
  <c r="D39" i="2"/>
  <c r="E39" i="2"/>
  <c r="D38" i="2" l="1"/>
  <c r="E38" i="2"/>
  <c r="D37" i="2" l="1"/>
  <c r="E37" i="2"/>
  <c r="E16" i="2"/>
  <c r="E17" i="2"/>
  <c r="E18" i="2"/>
  <c r="E19" i="2"/>
  <c r="E20" i="2"/>
  <c r="E21" i="2"/>
  <c r="E22" i="2"/>
  <c r="E23" i="2"/>
  <c r="E24" i="2"/>
  <c r="E25" i="2"/>
  <c r="E26" i="2"/>
  <c r="E27" i="2"/>
  <c r="E28" i="2"/>
  <c r="E29" i="2"/>
  <c r="E30" i="2"/>
  <c r="E31" i="2"/>
  <c r="E32" i="2"/>
  <c r="E33" i="2"/>
  <c r="E34" i="2"/>
  <c r="E35" i="2"/>
  <c r="E36" i="2"/>
  <c r="D36" i="2" l="1"/>
  <c r="B4" i="32"/>
  <c r="B5" i="32"/>
  <c r="B6" i="32"/>
  <c r="B7" i="32"/>
  <c r="B8" i="32"/>
  <c r="B9" i="32"/>
  <c r="B10" i="32"/>
  <c r="B11" i="32"/>
  <c r="B12" i="32"/>
  <c r="B13" i="32"/>
  <c r="B3" i="32"/>
  <c r="E2" i="2" l="1"/>
  <c r="S6" i="2"/>
  <c r="S5" i="2"/>
  <c r="E3" i="2"/>
  <c r="E4" i="2"/>
  <c r="E5" i="2"/>
  <c r="E6" i="2"/>
  <c r="E7" i="2"/>
  <c r="E8" i="2"/>
  <c r="E9" i="2"/>
  <c r="E10" i="2"/>
  <c r="E11" i="2"/>
  <c r="E12" i="2"/>
  <c r="E13" i="2"/>
  <c r="E14" i="2"/>
  <c r="E15"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B4" i="2" l="1"/>
  <c r="B3" i="2"/>
  <c r="B2" i="2"/>
  <c r="B1" i="2" l="1"/>
  <c r="B5" i="2"/>
  <c r="B6" i="2"/>
  <c r="B7" i="2"/>
  <c r="B9" i="2"/>
  <c r="B10" i="2" l="1"/>
  <c r="B11" i="2"/>
  <c r="B12" i="2"/>
  <c r="B13" i="2"/>
  <c r="B14" i="2"/>
  <c r="B15" i="2"/>
  <c r="B16" i="2"/>
  <c r="B17" i="2"/>
  <c r="B18" i="2"/>
  <c r="B19" i="2"/>
  <c r="B20" i="2"/>
  <c r="B21" i="2"/>
  <c r="B22" i="2"/>
  <c r="B23" i="2"/>
  <c r="B24" i="2"/>
  <c r="B25" i="2"/>
  <c r="B26" i="2"/>
  <c r="B27" i="2"/>
  <c r="B28" i="2"/>
  <c r="B29" i="2"/>
  <c r="B30" i="2"/>
  <c r="B31" i="2"/>
  <c r="B32" i="2"/>
  <c r="B33" i="2"/>
  <c r="B34" i="2"/>
  <c r="B35" i="2"/>
  <c r="B3" i="19" l="1"/>
  <c r="M2" i="19" l="1"/>
  <c r="L2" i="19"/>
  <c r="A7" i="19" l="1"/>
  <c r="N2" i="19"/>
  <c r="P2" i="19" l="1"/>
  <c r="Q2" i="19"/>
  <c r="O2" i="19" l="1"/>
  <c r="J3" i="19" s="1"/>
  <c r="F10" i="24" l="1"/>
  <c r="F7" i="24"/>
  <c r="E8" i="24" l="1"/>
  <c r="F8" i="24" s="1"/>
  <c r="F11" i="24" l="1"/>
  <c r="F9" i="24"/>
  <c r="F12" i="24"/>
  <c r="F6" i="24"/>
  <c r="I6" i="24" s="1"/>
  <c r="A6" i="24"/>
  <c r="A7" i="24" s="1"/>
  <c r="K4" i="24"/>
  <c r="L4" i="24" s="1"/>
  <c r="L5" i="24" s="1"/>
  <c r="A8" i="24" l="1"/>
  <c r="K2" i="24"/>
  <c r="K3" i="24"/>
  <c r="M4" i="24"/>
  <c r="K5" i="24"/>
  <c r="N4" i="24" l="1"/>
  <c r="M5" i="24"/>
  <c r="O4" i="24" l="1"/>
  <c r="N5" i="24"/>
  <c r="P4" i="24" l="1"/>
  <c r="O5" i="24"/>
  <c r="P5" i="24" l="1"/>
  <c r="Q4" i="24"/>
  <c r="R4" i="24" l="1"/>
  <c r="R2" i="24" s="1"/>
  <c r="Q5" i="24"/>
  <c r="R3" i="24" l="1"/>
  <c r="S4" i="24"/>
  <c r="R5" i="24"/>
  <c r="T4" i="24" l="1"/>
  <c r="S5" i="24"/>
  <c r="T5" i="24" l="1"/>
  <c r="U4" i="24"/>
  <c r="V4" i="24" l="1"/>
  <c r="U5" i="24"/>
  <c r="W4" i="24" l="1"/>
  <c r="V5" i="24"/>
  <c r="X4" i="24" l="1"/>
  <c r="W5" i="24"/>
  <c r="X5" i="24" l="1"/>
  <c r="Y4" i="24"/>
  <c r="Y2" i="24" s="1"/>
  <c r="Z4" i="24" l="1"/>
  <c r="Y5" i="24"/>
  <c r="Y3" i="24"/>
  <c r="AA4" i="24" l="1"/>
  <c r="Z5" i="24"/>
  <c r="AB4" i="24" l="1"/>
  <c r="AA5" i="24"/>
  <c r="AB5" i="24" l="1"/>
  <c r="AC4" i="24"/>
  <c r="AD4" i="24" l="1"/>
  <c r="AC5" i="24"/>
  <c r="AE4" i="24" l="1"/>
  <c r="AD5" i="24"/>
  <c r="AF4" i="24" l="1"/>
  <c r="AF2" i="24" s="1"/>
  <c r="AE5" i="24"/>
  <c r="AF5" i="24" l="1"/>
  <c r="AF3" i="24"/>
  <c r="AG4" i="24"/>
  <c r="AH4" i="24" l="1"/>
  <c r="AG5" i="24"/>
  <c r="AI4" i="24" l="1"/>
  <c r="AH5" i="24"/>
  <c r="AJ4" i="24" l="1"/>
  <c r="AI5" i="24"/>
  <c r="AJ5" i="24" l="1"/>
  <c r="AK4" i="24"/>
  <c r="AL4" i="24" l="1"/>
  <c r="AK5" i="24"/>
  <c r="AM4" i="24" l="1"/>
  <c r="AM2" i="24" s="1"/>
  <c r="AL5" i="24"/>
  <c r="AN4" i="24" l="1"/>
  <c r="AM5" i="24"/>
  <c r="AM3" i="24"/>
  <c r="AN5" i="24" l="1"/>
  <c r="AO4" i="24"/>
  <c r="AP4" i="24" l="1"/>
  <c r="AO5" i="24"/>
  <c r="AQ4" i="24" l="1"/>
  <c r="AP5" i="24"/>
  <c r="AR4" i="24" l="1"/>
  <c r="AQ5" i="24"/>
  <c r="AR5" i="24" l="1"/>
  <c r="AS4" i="24"/>
  <c r="AT4" i="24" l="1"/>
  <c r="AT2" i="24" s="1"/>
  <c r="AS5" i="24"/>
  <c r="AT3" i="24" l="1"/>
  <c r="AU4" i="24"/>
  <c r="AT5" i="24"/>
  <c r="AV4" i="24" l="1"/>
  <c r="AU5" i="24"/>
  <c r="AV5" i="24" l="1"/>
  <c r="AW4" i="24"/>
  <c r="AX4" i="24" l="1"/>
  <c r="AW5" i="24"/>
  <c r="AY4" i="24" l="1"/>
  <c r="AX5" i="24"/>
  <c r="AZ4" i="24" l="1"/>
  <c r="AY5" i="24"/>
  <c r="AZ5" i="24" l="1"/>
  <c r="BA4" i="24"/>
  <c r="BA2" i="24" s="1"/>
  <c r="BB4" i="24" l="1"/>
  <c r="BA5" i="24"/>
  <c r="BA3" i="24"/>
  <c r="BC4" i="24" l="1"/>
  <c r="BB5" i="24"/>
  <c r="BD4" i="24" l="1"/>
  <c r="BC5" i="24"/>
  <c r="BD5" i="24" l="1"/>
  <c r="BE4" i="24"/>
  <c r="BF4" i="24" l="1"/>
  <c r="BE5" i="24"/>
  <c r="BG4" i="24" l="1"/>
  <c r="BF5" i="24"/>
  <c r="BH4" i="24" l="1"/>
  <c r="BH2" i="24" s="1"/>
  <c r="BG5" i="24"/>
  <c r="BH5" i="24" l="1"/>
  <c r="BH3" i="24"/>
  <c r="BI4" i="24"/>
  <c r="BJ4" i="24" l="1"/>
  <c r="BI5" i="24"/>
  <c r="BK4" i="24" l="1"/>
  <c r="BJ5" i="24"/>
  <c r="BL4" i="24" l="1"/>
  <c r="BK5" i="24"/>
  <c r="BL5" i="24" l="1"/>
  <c r="BM4" i="24"/>
  <c r="BN4" i="24" l="1"/>
  <c r="BM5" i="24"/>
  <c r="BN5" i="24" l="1"/>
  <c r="BO4" i="24"/>
  <c r="BO2" i="24" s="1"/>
  <c r="BP4" i="24" l="1"/>
  <c r="BO5" i="24"/>
  <c r="BO3" i="24"/>
  <c r="BP5" i="24" l="1"/>
  <c r="BQ4" i="24"/>
  <c r="BQ5" i="24" l="1"/>
  <c r="BR4" i="24"/>
  <c r="BS4" i="24" l="1"/>
  <c r="BR5" i="24"/>
  <c r="BT4" i="24" l="1"/>
  <c r="BS5" i="24"/>
  <c r="BT5" i="24" l="1"/>
  <c r="BU4" i="24"/>
  <c r="BU5" i="24" l="1"/>
  <c r="BV4" i="24"/>
  <c r="BV2" i="24" s="1"/>
  <c r="BW4" i="24" l="1"/>
  <c r="BV5" i="24"/>
  <c r="BV3" i="24"/>
  <c r="BX4" i="24" l="1"/>
  <c r="BW5" i="24"/>
  <c r="BX5" i="24" l="1"/>
  <c r="BY4" i="24"/>
  <c r="BZ4" i="24" l="1"/>
  <c r="BY5" i="24"/>
  <c r="CA4" i="24" l="1"/>
  <c r="BZ5" i="24"/>
  <c r="CA5" i="24" l="1"/>
  <c r="CB4" i="24"/>
  <c r="CB5" i="24" l="1"/>
  <c r="CC4" i="24"/>
  <c r="CC2" i="24" s="1"/>
  <c r="CD4" i="24" l="1"/>
  <c r="CC5" i="24"/>
  <c r="CC3" i="24"/>
  <c r="CE4" i="24" l="1"/>
  <c r="CD5" i="24"/>
  <c r="CE5" i="24" l="1"/>
  <c r="CF4" i="24"/>
  <c r="CF5" i="24" l="1"/>
  <c r="CG4" i="24"/>
  <c r="CH4" i="24" l="1"/>
  <c r="CG5" i="24"/>
  <c r="CI4" i="24" l="1"/>
  <c r="CH5" i="24"/>
  <c r="CI5" i="24" l="1"/>
  <c r="CJ4" i="24"/>
  <c r="CJ2" i="24" s="1"/>
  <c r="CJ5" i="24" l="1"/>
  <c r="CK4" i="24"/>
  <c r="CJ3" i="24"/>
  <c r="CK5" i="24" l="1"/>
  <c r="CL4" i="24"/>
  <c r="CM4" i="24" l="1"/>
  <c r="CL5" i="24"/>
  <c r="CN4" i="24" l="1"/>
  <c r="CM5" i="24"/>
  <c r="CN5" i="24" l="1"/>
  <c r="CO4" i="24"/>
  <c r="CO5" i="24" l="1"/>
  <c r="CP4" i="24"/>
  <c r="CP5" i="24" l="1"/>
  <c r="CQ4" i="24"/>
  <c r="CQ2" i="24" s="1"/>
  <c r="CR4" i="24" l="1"/>
  <c r="CQ5" i="24"/>
  <c r="CQ3" i="24"/>
  <c r="CS4" i="24" l="1"/>
  <c r="CR5" i="24"/>
  <c r="CS5" i="24" l="1"/>
  <c r="CT4" i="24"/>
  <c r="CU4" i="24" l="1"/>
  <c r="CT5" i="24"/>
  <c r="CV4" i="24" l="1"/>
  <c r="CU5" i="24"/>
  <c r="CW4" i="24" l="1"/>
  <c r="CV5" i="24"/>
  <c r="CW5" i="24" l="1"/>
  <c r="CX4" i="24"/>
  <c r="CX2" i="24" s="1"/>
  <c r="CY4" i="24" l="1"/>
  <c r="CX5" i="24"/>
  <c r="CX3" i="24"/>
  <c r="CY5" i="24" l="1"/>
  <c r="CZ4" i="24"/>
  <c r="CZ5" i="24" l="1"/>
  <c r="DA4" i="24"/>
  <c r="DB4" i="24" l="1"/>
  <c r="DA5" i="24"/>
  <c r="DC4" i="24" l="1"/>
  <c r="DB5" i="24"/>
  <c r="DC5" i="24" l="1"/>
  <c r="DD4" i="24"/>
  <c r="DD5" i="24" l="1"/>
  <c r="DE4" i="24"/>
  <c r="DE2" i="24" s="1"/>
  <c r="DF4" i="24" l="1"/>
  <c r="DE5" i="24"/>
  <c r="DE3" i="24"/>
  <c r="DF5" i="24" l="1"/>
  <c r="DG4" i="24"/>
  <c r="DG5" i="24" l="1"/>
  <c r="DH4" i="24"/>
  <c r="DI4" i="24" l="1"/>
  <c r="DH5" i="24"/>
  <c r="DJ4" i="24" l="1"/>
  <c r="DI5" i="24"/>
  <c r="DJ5" i="24" l="1"/>
  <c r="DK4" i="24"/>
  <c r="DK5" i="24" l="1"/>
  <c r="DL4" i="24"/>
  <c r="DL2" i="24" s="1"/>
  <c r="DM4" i="24" l="1"/>
  <c r="DL3" i="24"/>
  <c r="DL5" i="24"/>
  <c r="DM5" i="24" l="1"/>
  <c r="DN4" i="24"/>
  <c r="DN5" i="24" l="1"/>
  <c r="DO4" i="24"/>
  <c r="DP4" i="24" l="1"/>
  <c r="DO5" i="24"/>
  <c r="DP5" i="24" l="1"/>
  <c r="DQ4" i="24"/>
  <c r="DQ5" i="24" l="1"/>
  <c r="DR4" i="24"/>
  <c r="DR5" i="24" l="1"/>
  <c r="DS4" i="24"/>
  <c r="DS2" i="24" s="1"/>
  <c r="DS3" i="24" l="1"/>
  <c r="DS5" i="24"/>
  <c r="DT4" i="24"/>
  <c r="DT5" i="24" l="1"/>
  <c r="DU4" i="24"/>
  <c r="DV4" i="24" l="1"/>
  <c r="DU5" i="24"/>
  <c r="DW4" i="24" l="1"/>
  <c r="DV5" i="24"/>
  <c r="DW5" i="24" l="1"/>
  <c r="DX4" i="24"/>
  <c r="DX5" i="24" l="1"/>
  <c r="DY4" i="24"/>
  <c r="DY5" i="24" l="1"/>
  <c r="DZ4" i="24"/>
  <c r="DZ2" i="24" s="1"/>
  <c r="EA4" i="24" l="1"/>
  <c r="DZ3" i="24"/>
  <c r="DZ5" i="24"/>
  <c r="EA5" i="24" l="1"/>
  <c r="EB4" i="24"/>
  <c r="EC4" i="24" l="1"/>
  <c r="EB5" i="24"/>
  <c r="ED4" i="24" l="1"/>
  <c r="EC5" i="24"/>
  <c r="EE4" i="24" l="1"/>
  <c r="ED5" i="24"/>
  <c r="EE5" i="24" l="1"/>
  <c r="EF4" i="24"/>
  <c r="EF5" i="24" l="1"/>
  <c r="EG4" i="24"/>
  <c r="EG2" i="24" s="1"/>
  <c r="EH4" i="24" l="1"/>
  <c r="EG3" i="24"/>
  <c r="EG5" i="24"/>
  <c r="EH5" i="24" l="1"/>
  <c r="EI4" i="24"/>
  <c r="EI5" i="24" l="1"/>
  <c r="EJ4" i="24"/>
  <c r="EK4" i="24" l="1"/>
  <c r="EJ5" i="24"/>
  <c r="EL4" i="24" l="1"/>
  <c r="EK5" i="24"/>
  <c r="EL5" i="24" l="1"/>
  <c r="EM4" i="24"/>
  <c r="EM5" i="24" l="1"/>
  <c r="EN4" i="24"/>
  <c r="EN5" i="24" l="1"/>
  <c r="EN2" i="24"/>
  <c r="EN3" i="24"/>
  <c r="EO4" i="24"/>
  <c r="EO5" i="24" l="1"/>
  <c r="EP4" i="24"/>
  <c r="EP5" i="24" l="1"/>
  <c r="EQ4" i="24"/>
  <c r="EQ5" i="24" l="1"/>
  <c r="ER4" i="24"/>
  <c r="ER5" i="24" l="1"/>
  <c r="ES4" i="24"/>
  <c r="ES5" i="24" l="1"/>
  <c r="ET4" i="24"/>
  <c r="ET5" i="24" l="1"/>
  <c r="EU4" i="24"/>
  <c r="EU2" i="24" l="1"/>
  <c r="EU5" i="24"/>
  <c r="EV4" i="24"/>
  <c r="EU3" i="24"/>
  <c r="EV5" i="24" l="1"/>
  <c r="EW4" i="24"/>
  <c r="EX4" i="24" l="1"/>
  <c r="EW5" i="24"/>
  <c r="EY4" i="24" l="1"/>
  <c r="EX5" i="24"/>
  <c r="EZ4" i="24" l="1"/>
  <c r="EY5" i="24"/>
  <c r="EZ5" i="24" l="1"/>
  <c r="FA4" i="24"/>
  <c r="FA5" i="24" l="1"/>
  <c r="FB4" i="24"/>
  <c r="FB2" i="24" l="1"/>
  <c r="FB5" i="24"/>
  <c r="FC4" i="24"/>
  <c r="FB3" i="24"/>
  <c r="FD4" i="24" l="1"/>
  <c r="FC5" i="24"/>
  <c r="FD5" i="24" l="1"/>
  <c r="FE4" i="24"/>
  <c r="FE5" i="24" l="1"/>
  <c r="FF4" i="24"/>
  <c r="FF5" i="24" l="1"/>
  <c r="FG4" i="24"/>
  <c r="FG5" i="24" l="1"/>
  <c r="FH4" i="24"/>
  <c r="FH5" i="24" l="1"/>
  <c r="FI4" i="24"/>
  <c r="FI2" i="24" l="1"/>
  <c r="FI3" i="24"/>
  <c r="FI5" i="24"/>
  <c r="FJ4" i="24"/>
  <c r="FJ5" i="24" l="1"/>
  <c r="FK4" i="24"/>
  <c r="FK5" i="24" l="1"/>
  <c r="FL4" i="24"/>
  <c r="FL5" i="24" l="1"/>
  <c r="FM4" i="24"/>
  <c r="FM5" i="24" l="1"/>
  <c r="FN4" i="24"/>
  <c r="FO4" i="24" l="1"/>
  <c r="FN5" i="24"/>
  <c r="FO5" i="24" l="1"/>
  <c r="FP4" i="24"/>
  <c r="FP2" i="24" l="1"/>
  <c r="FP5" i="24"/>
  <c r="FQ4" i="24"/>
  <c r="FP3" i="24"/>
  <c r="FR4" i="24" l="1"/>
  <c r="FQ5" i="24"/>
  <c r="FS4" i="24" l="1"/>
  <c r="FR5" i="24"/>
  <c r="FS5" i="24" l="1"/>
  <c r="FT4" i="24"/>
  <c r="FT5" i="24" l="1"/>
  <c r="FU4" i="24"/>
  <c r="FU5" i="24" l="1"/>
  <c r="FV4" i="24"/>
  <c r="FW4" i="24" l="1"/>
  <c r="FV5" i="24"/>
  <c r="FW2" i="24" l="1"/>
  <c r="FW5" i="24"/>
  <c r="FX4" i="24"/>
  <c r="FW3" i="24"/>
  <c r="FX5" i="24" l="1"/>
  <c r="FY4" i="24"/>
  <c r="FY5" i="24" l="1"/>
  <c r="FZ4" i="24"/>
  <c r="FZ5" i="24" l="1"/>
  <c r="GA4" i="24"/>
  <c r="GB4" i="24" l="1"/>
  <c r="GA5" i="24"/>
  <c r="GB5" i="24" l="1"/>
  <c r="GC4" i="24"/>
  <c r="GD4" i="24" l="1"/>
  <c r="GC5" i="24"/>
  <c r="GD2" i="24" l="1"/>
  <c r="GD5" i="24"/>
  <c r="GE4" i="24"/>
  <c r="GD3" i="24"/>
  <c r="GE5" i="24" l="1"/>
  <c r="GF4" i="24"/>
  <c r="GF5" i="24" l="1"/>
  <c r="GG4" i="24"/>
  <c r="GG5" i="24" l="1"/>
  <c r="GH4" i="24"/>
  <c r="GH5" i="24" l="1"/>
  <c r="GI4" i="24"/>
  <c r="GI5" i="24" l="1"/>
  <c r="GJ4" i="24"/>
  <c r="GJ5" i="24" l="1"/>
  <c r="GK4" i="24"/>
  <c r="GK2" i="24" l="1"/>
  <c r="GK5" i="24"/>
  <c r="GL4" i="24"/>
  <c r="GK3" i="24"/>
  <c r="GL5" i="24" l="1"/>
  <c r="GM4" i="24"/>
  <c r="GM5" i="24" l="1"/>
  <c r="GN4" i="24"/>
  <c r="GN5" i="24" l="1"/>
  <c r="GO4" i="24"/>
  <c r="GP4" i="24" l="1"/>
  <c r="GO5" i="24"/>
  <c r="GP5" i="24" l="1"/>
  <c r="GQ4" i="24"/>
  <c r="GR4" i="24" l="1"/>
  <c r="GQ5" i="24"/>
  <c r="GR2" i="24" l="1"/>
  <c r="GR5" i="24"/>
  <c r="GS4" i="24"/>
  <c r="GR3" i="24"/>
  <c r="GS5" i="24" l="1"/>
  <c r="GT4" i="24"/>
  <c r="GU4" i="24" l="1"/>
  <c r="GT5" i="24"/>
  <c r="GV4" i="24" l="1"/>
  <c r="GU5" i="24"/>
  <c r="GV5" i="24" l="1"/>
  <c r="GW4" i="24"/>
  <c r="GX4" i="24" l="1"/>
  <c r="GW5" i="24"/>
  <c r="GX5" i="24" l="1"/>
  <c r="GY4" i="24"/>
  <c r="GY2" i="24" l="1"/>
  <c r="GY5" i="24"/>
  <c r="GZ4" i="24"/>
  <c r="GY3" i="24"/>
  <c r="GZ5" i="24" l="1"/>
  <c r="HA4" i="24"/>
  <c r="HB4" i="24" l="1"/>
  <c r="HA5" i="24"/>
  <c r="HB5" i="24" l="1"/>
  <c r="HC4" i="24"/>
  <c r="HC5" i="24" l="1"/>
  <c r="HD4" i="24"/>
  <c r="HD5" i="24" l="1"/>
  <c r="HE4" i="24"/>
  <c r="HE5" i="24" l="1"/>
  <c r="HF4" i="24"/>
  <c r="HF2" i="24" l="1"/>
  <c r="HF5" i="24"/>
  <c r="HG4" i="24"/>
  <c r="HF3" i="24"/>
  <c r="HG5" i="24" l="1"/>
  <c r="HH4" i="24"/>
  <c r="HH5" i="24" l="1"/>
  <c r="HI4" i="24"/>
  <c r="HJ4" i="24" l="1"/>
  <c r="HI5" i="24"/>
  <c r="HJ5" i="24" l="1"/>
  <c r="HK4" i="24"/>
  <c r="HK5" i="24" l="1"/>
  <c r="HL4" i="24"/>
  <c r="HL5" i="24" l="1"/>
  <c r="HM4" i="24"/>
  <c r="HN4" i="24" l="1"/>
  <c r="HM3" i="24"/>
  <c r="HM2" i="24"/>
  <c r="HM5" i="24"/>
  <c r="HN5" i="24" l="1"/>
  <c r="HO4" i="24"/>
  <c r="HO5" i="24" l="1"/>
  <c r="HP4" i="24"/>
  <c r="HQ4" i="24" l="1"/>
  <c r="HP5" i="24"/>
  <c r="HR4" i="24" l="1"/>
  <c r="HQ5" i="24"/>
  <c r="HS4" i="24" l="1"/>
  <c r="HR5" i="24"/>
  <c r="HS5" i="24" l="1"/>
  <c r="HT4" i="24"/>
  <c r="HT2" i="24" l="1"/>
  <c r="HT5" i="24"/>
  <c r="HT3" i="24"/>
  <c r="HU4" i="24"/>
  <c r="HV4" i="24" l="1"/>
  <c r="HU5" i="24"/>
  <c r="HV5" i="24" l="1"/>
  <c r="HW4" i="24"/>
  <c r="HW5" i="24" l="1"/>
  <c r="HX4" i="24"/>
  <c r="HY4" i="24" l="1"/>
  <c r="HX5" i="24"/>
  <c r="HY5" i="24" l="1"/>
  <c r="HZ4" i="24"/>
  <c r="IA4" i="24" l="1"/>
  <c r="HZ5" i="24"/>
  <c r="IA2" i="24" l="1"/>
  <c r="IB4" i="24"/>
  <c r="IA5" i="24"/>
  <c r="IA3" i="24"/>
  <c r="IC4" i="24" l="1"/>
  <c r="IB5" i="24"/>
  <c r="IC5" i="24" l="1"/>
  <c r="ID4" i="24"/>
  <c r="ID5" i="24" l="1"/>
  <c r="IE4" i="24"/>
  <c r="IF4" i="24" l="1"/>
  <c r="IE5" i="24"/>
  <c r="IF5" i="24" l="1"/>
  <c r="IG4" i="24"/>
  <c r="IH4" i="24" l="1"/>
  <c r="IG5" i="24"/>
  <c r="IH2" i="24" l="1"/>
  <c r="IH3" i="24"/>
  <c r="IH5" i="24"/>
  <c r="II4" i="24"/>
  <c r="IJ4" i="24" l="1"/>
  <c r="II5" i="24"/>
  <c r="IJ5" i="24" l="1"/>
  <c r="IK4" i="24"/>
  <c r="IL4" i="24" l="1"/>
  <c r="IK5" i="24"/>
  <c r="IM4" i="24" l="1"/>
  <c r="IL5" i="24"/>
  <c r="IN4" i="24" l="1"/>
  <c r="IM5" i="24"/>
  <c r="IN5" i="24" l="1"/>
  <c r="IO4" i="24"/>
  <c r="IO2" i="24" l="1"/>
  <c r="IO3" i="24"/>
  <c r="IP4" i="24"/>
  <c r="IO5" i="24"/>
  <c r="IQ4" i="24" l="1"/>
  <c r="IP5" i="24"/>
  <c r="IR4" i="24" l="1"/>
  <c r="IQ5" i="24"/>
  <c r="IR5" i="24" l="1"/>
  <c r="IS4" i="24"/>
  <c r="IT4" i="24" l="1"/>
  <c r="IS5" i="24"/>
  <c r="IU4" i="24" l="1"/>
  <c r="IT5" i="24"/>
  <c r="IV4" i="24" l="1"/>
  <c r="IU5" i="24"/>
  <c r="IV2" i="24" l="1"/>
  <c r="IW4" i="24"/>
  <c r="IV5" i="24"/>
  <c r="IV3" i="24"/>
  <c r="IX4" i="24" l="1"/>
  <c r="IW5" i="24"/>
  <c r="IY4" i="24" l="1"/>
  <c r="IX5" i="24"/>
  <c r="IZ4" i="24" l="1"/>
  <c r="IY5" i="24"/>
  <c r="IZ5" i="24" l="1"/>
  <c r="JA4" i="24"/>
  <c r="JB4" i="24" l="1"/>
  <c r="JA5" i="24"/>
  <c r="JC4" i="24" l="1"/>
  <c r="JB5" i="24"/>
  <c r="JC2" i="24" l="1"/>
  <c r="JC3" i="24"/>
  <c r="JD4" i="24"/>
  <c r="JC5" i="24"/>
  <c r="JD5" i="24" l="1"/>
  <c r="JE4" i="24"/>
  <c r="JF4" i="24" l="1"/>
  <c r="JE5" i="24"/>
  <c r="JG4" i="24" l="1"/>
  <c r="JF5" i="24"/>
  <c r="JH4" i="24" l="1"/>
  <c r="JG5" i="24"/>
  <c r="JH5" i="24" l="1"/>
  <c r="JI4" i="24"/>
  <c r="JJ4" i="24" l="1"/>
  <c r="JI5" i="24"/>
  <c r="JJ2" i="24" l="1"/>
  <c r="JJ5" i="24"/>
  <c r="JK4" i="24"/>
  <c r="JJ3" i="24"/>
  <c r="JK5" i="24" l="1"/>
  <c r="JL4" i="24"/>
  <c r="JL5" i="24" l="1"/>
  <c r="JM4" i="24"/>
  <c r="JN4" i="24" l="1"/>
  <c r="JM5" i="24"/>
  <c r="JN5" i="24" l="1"/>
  <c r="JO4" i="24"/>
  <c r="JP4" i="24" l="1"/>
  <c r="JO5" i="24"/>
  <c r="JP5" i="24" l="1"/>
  <c r="JQ4" i="24"/>
  <c r="JQ2" i="24" l="1"/>
  <c r="JQ3" i="24"/>
  <c r="JQ5" i="24"/>
  <c r="JR4" i="24"/>
  <c r="JS4" i="24" l="1"/>
  <c r="JR5" i="24"/>
  <c r="JT4" i="24" l="1"/>
  <c r="JS5" i="24"/>
  <c r="JT5" i="24" l="1"/>
  <c r="JU4" i="24"/>
  <c r="JV4" i="24" l="1"/>
  <c r="JU5" i="24"/>
  <c r="JW4" i="24" l="1"/>
  <c r="JV5" i="24"/>
  <c r="JX4" i="24" l="1"/>
  <c r="JW5" i="24"/>
  <c r="JX2" i="24" l="1"/>
  <c r="JY4" i="24"/>
  <c r="JX5" i="24"/>
  <c r="JX3" i="24"/>
  <c r="JZ4" i="24" l="1"/>
  <c r="JY5" i="24"/>
  <c r="KA4" i="24" l="1"/>
  <c r="JZ5" i="24"/>
  <c r="KB4" i="24" l="1"/>
  <c r="KA5" i="24"/>
  <c r="KB5" i="24" l="1"/>
  <c r="KC4" i="24"/>
  <c r="KD4" i="24" l="1"/>
  <c r="KC5" i="24"/>
  <c r="KE4" i="24" l="1"/>
  <c r="KD5" i="24"/>
  <c r="KE2" i="24" l="1"/>
  <c r="KE3" i="24"/>
  <c r="KF4" i="24"/>
  <c r="KE5" i="24"/>
  <c r="KG4" i="24" l="1"/>
  <c r="KF5" i="24"/>
  <c r="KH4" i="24" l="1"/>
  <c r="KG5" i="24"/>
  <c r="KI4" i="24" l="1"/>
  <c r="KH5" i="24"/>
  <c r="KJ4" i="24" l="1"/>
  <c r="KI5" i="24"/>
  <c r="KJ5" i="24" l="1"/>
  <c r="KK4" i="24"/>
  <c r="KL4" i="24" l="1"/>
  <c r="KK5" i="24"/>
  <c r="KL2" i="24" l="1"/>
  <c r="KL5" i="24"/>
  <c r="KL3" i="24"/>
  <c r="KM4" i="24"/>
  <c r="KN4" i="24" l="1"/>
  <c r="KM5" i="24"/>
  <c r="KN5" i="24" l="1"/>
  <c r="KO4" i="24"/>
  <c r="KP4" i="24" l="1"/>
  <c r="KO5" i="24"/>
  <c r="KQ4" i="24" l="1"/>
  <c r="KP5" i="24"/>
  <c r="KR4" i="24" l="1"/>
  <c r="KQ5" i="24"/>
  <c r="KR5" i="24" l="1"/>
  <c r="KS4" i="24"/>
  <c r="KT4" i="24" l="1"/>
  <c r="KS2" i="24"/>
  <c r="KS3" i="24"/>
  <c r="KS5" i="24"/>
  <c r="KT5" i="24" l="1"/>
  <c r="KU4" i="24"/>
  <c r="KV4" i="24" l="1"/>
  <c r="KU5" i="24"/>
  <c r="KV5" i="24" l="1"/>
  <c r="KW4" i="24"/>
  <c r="KX4" i="24" l="1"/>
  <c r="KW5" i="24"/>
  <c r="KY4" i="24" l="1"/>
  <c r="KX5" i="24"/>
  <c r="KZ4" i="24" l="1"/>
  <c r="KY5" i="24"/>
  <c r="KZ2" i="24" l="1"/>
  <c r="LA4" i="24"/>
  <c r="KZ5" i="24"/>
  <c r="KZ3" i="24"/>
  <c r="LA5" i="24" l="1"/>
  <c r="LB4" i="24"/>
  <c r="LC4" i="24" l="1"/>
  <c r="LB5" i="24"/>
  <c r="LC5" i="24" l="1"/>
  <c r="LD4" i="24"/>
  <c r="LE4" i="24" l="1"/>
  <c r="LD5" i="24"/>
  <c r="LE5" i="24" l="1"/>
  <c r="LF4" i="24"/>
  <c r="LG4" i="24" l="1"/>
  <c r="LF5" i="24"/>
  <c r="LG2" i="24" l="1"/>
  <c r="LG5" i="24"/>
  <c r="LG3" i="24"/>
  <c r="LH4" i="24"/>
  <c r="LH5" i="24" l="1"/>
  <c r="LI4" i="24"/>
  <c r="LJ4" i="24" l="1"/>
  <c r="LI5" i="24"/>
  <c r="LK4" i="24" l="1"/>
  <c r="LJ5" i="24"/>
  <c r="LL4" i="24" l="1"/>
  <c r="LK5" i="24"/>
  <c r="LL5" i="24" l="1"/>
  <c r="LM4" i="24"/>
  <c r="LN4" i="24" l="1"/>
  <c r="LM5" i="24"/>
  <c r="LN2" i="24" l="1"/>
  <c r="LN5" i="24"/>
  <c r="LO4" i="24"/>
  <c r="LN3" i="24"/>
  <c r="LP4" i="24" l="1"/>
  <c r="LO5" i="24"/>
  <c r="LP5" i="24" l="1"/>
  <c r="LQ4" i="24"/>
  <c r="LR4" i="24" l="1"/>
  <c r="LQ5" i="24"/>
  <c r="LS4" i="24" l="1"/>
  <c r="LR5" i="24"/>
  <c r="LT4" i="24" l="1"/>
  <c r="LS5" i="24"/>
  <c r="LT5" i="24" l="1"/>
  <c r="LU4" i="24"/>
  <c r="LU2" i="24" l="1"/>
  <c r="LU5" i="24"/>
  <c r="LU3" i="24"/>
  <c r="LV4" i="24"/>
  <c r="LW4" i="24" l="1"/>
  <c r="LV5" i="24"/>
  <c r="LX4" i="24" l="1"/>
  <c r="LW5" i="24"/>
  <c r="LX5" i="24" l="1"/>
  <c r="LY4" i="24"/>
  <c r="LZ4" i="24" l="1"/>
  <c r="LY5" i="24"/>
  <c r="MA4" i="24" l="1"/>
  <c r="LZ5" i="24"/>
  <c r="MB4" i="24" l="1"/>
  <c r="MA5" i="24"/>
  <c r="MB2" i="24" l="1"/>
  <c r="MB3" i="24"/>
  <c r="MB5" i="24"/>
  <c r="MC4" i="24"/>
  <c r="MD4" i="24" l="1"/>
  <c r="MC5" i="24"/>
  <c r="ME4" i="24" l="1"/>
  <c r="MD5" i="24"/>
  <c r="MF4" i="24" l="1"/>
  <c r="ME5" i="24"/>
  <c r="MF5" i="24" l="1"/>
  <c r="MG4" i="24"/>
  <c r="MH4" i="24" l="1"/>
  <c r="MG5" i="24"/>
  <c r="MI4" i="24" l="1"/>
  <c r="MH5" i="24"/>
  <c r="MI2" i="24" l="1"/>
  <c r="MI5" i="24"/>
  <c r="MJ4" i="24"/>
  <c r="MI3" i="24"/>
  <c r="MJ5" i="24" l="1"/>
  <c r="MK4" i="24"/>
  <c r="ML4" i="24" l="1"/>
  <c r="MK5" i="24"/>
  <c r="MM4" i="24" l="1"/>
  <c r="ML5" i="24"/>
  <c r="MN4" i="24" l="1"/>
  <c r="MM5" i="24"/>
  <c r="MN5" i="24" l="1"/>
  <c r="MO4" i="24"/>
  <c r="MP4" i="24" l="1"/>
  <c r="MO5" i="24"/>
  <c r="MP2" i="24" l="1"/>
  <c r="MQ4" i="24"/>
  <c r="MP3" i="24"/>
  <c r="MP5" i="24"/>
  <c r="MR4" i="24" l="1"/>
  <c r="MQ5" i="24"/>
  <c r="MR5" i="24" l="1"/>
  <c r="MS4" i="24"/>
  <c r="MT4" i="24" l="1"/>
  <c r="MS5" i="24"/>
  <c r="MU4" i="24" l="1"/>
  <c r="MT5" i="24"/>
  <c r="MV4" i="24" l="1"/>
  <c r="MU5" i="24"/>
  <c r="MV5" i="24" l="1"/>
  <c r="MW4" i="24"/>
  <c r="MW2" i="24" l="1"/>
  <c r="MW5" i="24"/>
  <c r="MX4" i="24"/>
  <c r="MW3" i="24"/>
  <c r="MY4" i="24" l="1"/>
  <c r="MX5" i="24"/>
  <c r="MZ4" i="24" l="1"/>
  <c r="MY5" i="24"/>
  <c r="MZ5" i="24" l="1"/>
  <c r="NA4" i="24"/>
  <c r="NA5" i="24" l="1"/>
  <c r="NB4" i="24"/>
  <c r="NB5" i="24" l="1"/>
  <c r="NC4" i="24"/>
  <c r="ND4" i="24" l="1"/>
  <c r="NC5" i="24"/>
  <c r="ND2" i="24" l="1"/>
  <c r="ND3" i="24"/>
  <c r="NE4" i="24"/>
  <c r="ND5" i="24"/>
  <c r="NF4" i="24" l="1"/>
  <c r="NE5" i="24"/>
  <c r="NG4" i="24" l="1"/>
  <c r="NF5" i="24"/>
  <c r="NG5" i="24" l="1"/>
  <c r="NH4" i="24"/>
  <c r="NH5" i="24" l="1"/>
  <c r="NI4" i="24"/>
  <c r="NJ4" i="24" l="1"/>
  <c r="NI5" i="24"/>
  <c r="NK4" i="24" l="1"/>
  <c r="NJ5" i="24"/>
  <c r="NK2" i="24" l="1"/>
  <c r="NK5" i="24"/>
  <c r="NK3" i="24"/>
  <c r="NL4" i="24"/>
  <c r="NL5" i="24" l="1"/>
  <c r="NM4" i="24"/>
  <c r="NN4" i="24" l="1"/>
  <c r="NM5" i="24"/>
  <c r="NN5" i="24" l="1"/>
  <c r="NO4" i="24"/>
  <c r="NP4" i="24" l="1"/>
  <c r="NO5" i="24"/>
  <c r="NP5" i="24" l="1"/>
  <c r="NQ4" i="24"/>
  <c r="NQ5" i="24" l="1"/>
  <c r="NR4" i="24"/>
  <c r="NR2" i="24" l="1"/>
  <c r="NS4" i="24"/>
  <c r="NR5" i="24"/>
  <c r="NR3" i="24"/>
  <c r="NT4" i="24" l="1"/>
  <c r="NS5" i="24"/>
  <c r="NT5" i="24" l="1"/>
  <c r="NU4" i="24"/>
  <c r="NV4" i="24" l="1"/>
  <c r="NU5" i="24"/>
  <c r="NV5" i="24" l="1"/>
  <c r="NW4" i="24"/>
  <c r="NX4" i="24" l="1"/>
  <c r="NW5" i="24"/>
  <c r="NX5" i="24" l="1"/>
  <c r="NY4" i="24"/>
  <c r="NY2" i="24" l="1"/>
  <c r="NZ4" i="24"/>
  <c r="NY5" i="24"/>
  <c r="NY3" i="24"/>
  <c r="NZ5" i="24" l="1"/>
  <c r="OA4" i="24"/>
  <c r="OA5" i="24" l="1"/>
  <c r="OB4" i="24"/>
  <c r="OB5" i="24" l="1"/>
  <c r="OC4" i="24"/>
  <c r="OC5" i="24" l="1"/>
  <c r="OD4" i="24"/>
  <c r="OD5" i="24" l="1"/>
  <c r="OE4" i="24"/>
  <c r="OF4" i="24" l="1"/>
  <c r="OE5" i="24"/>
  <c r="OF2" i="24" l="1"/>
  <c r="OF5" i="24"/>
  <c r="OF3" i="24"/>
  <c r="OG4" i="24"/>
  <c r="OG5" i="24" l="1"/>
  <c r="OH4" i="24"/>
  <c r="OI4" i="24" l="1"/>
  <c r="OH5" i="24"/>
  <c r="OI5" i="24" l="1"/>
  <c r="OJ4" i="24"/>
  <c r="OK4" i="24" l="1"/>
  <c r="OJ5" i="24"/>
  <c r="OK5" i="24" l="1"/>
  <c r="OL4" i="24"/>
  <c r="OM4" i="24" l="1"/>
  <c r="OL5" i="24"/>
  <c r="OM2" i="24" l="1"/>
  <c r="ON4" i="24"/>
  <c r="OM5" i="24"/>
  <c r="OM3" i="24"/>
  <c r="OO4" i="24" l="1"/>
  <c r="ON5" i="24"/>
  <c r="OO5" i="24" l="1"/>
  <c r="OP4" i="24"/>
  <c r="OP5" i="24" l="1"/>
  <c r="OQ4" i="24"/>
  <c r="OR4" i="24" l="1"/>
  <c r="OQ5" i="24"/>
  <c r="OS4" i="24" l="1"/>
  <c r="OR5" i="24"/>
  <c r="OT4" i="24" l="1"/>
  <c r="OS5" i="24"/>
  <c r="OT2" i="24" l="1"/>
  <c r="OT3" i="24"/>
  <c r="OT5" i="24"/>
  <c r="OU4" i="24"/>
  <c r="OV4" i="24" l="1"/>
  <c r="OU5" i="24"/>
  <c r="OV5" i="24" l="1"/>
  <c r="OW4" i="24"/>
  <c r="OX4" i="24" l="1"/>
  <c r="OW5" i="24"/>
  <c r="OX5" i="24" l="1"/>
  <c r="OY4" i="24"/>
  <c r="OZ4" i="24" l="1"/>
  <c r="OY5" i="24"/>
  <c r="OZ5" i="24" l="1"/>
  <c r="PA4" i="24"/>
  <c r="PA2" i="24" l="1"/>
  <c r="PA3" i="24"/>
  <c r="PB4" i="24"/>
  <c r="PA5" i="24"/>
  <c r="PC4" i="24" l="1"/>
  <c r="PB5" i="24"/>
  <c r="PD4" i="24" l="1"/>
  <c r="PC5" i="24"/>
  <c r="PD5" i="24" l="1"/>
  <c r="PE4" i="24"/>
  <c r="PF4" i="24" l="1"/>
  <c r="PE5" i="24"/>
  <c r="PF5" i="24" l="1"/>
  <c r="PG4" i="24"/>
  <c r="PG5" i="24" l="1"/>
  <c r="PH4" i="24"/>
  <c r="PH2" i="24" l="1"/>
  <c r="PH5" i="24"/>
  <c r="PH3" i="24"/>
  <c r="PI4" i="24"/>
  <c r="PJ4" i="24" l="1"/>
  <c r="PI5" i="24"/>
  <c r="PK4" i="24" l="1"/>
  <c r="PJ5" i="24"/>
  <c r="PL4" i="24" l="1"/>
  <c r="PK5" i="24"/>
  <c r="PL5" i="24" l="1"/>
  <c r="PM4" i="24"/>
  <c r="PN4" i="24" l="1"/>
  <c r="PM5" i="24"/>
  <c r="PO4" i="24" l="1"/>
  <c r="PN5" i="24"/>
  <c r="PO2" i="24" l="1"/>
  <c r="PO3" i="24"/>
  <c r="PP4" i="24"/>
  <c r="PO5" i="24"/>
  <c r="PP5" i="24" l="1"/>
  <c r="PQ4" i="24"/>
  <c r="PR4" i="24" l="1"/>
  <c r="PQ5" i="24"/>
  <c r="PS4" i="24" l="1"/>
  <c r="PR5" i="24"/>
  <c r="PT4" i="24" l="1"/>
  <c r="PS5" i="24"/>
  <c r="PT5" i="24" l="1"/>
  <c r="PU4" i="24"/>
  <c r="PV4" i="24" l="1"/>
  <c r="PU5" i="24"/>
  <c r="PV2" i="24" l="1"/>
  <c r="PV3" i="24"/>
  <c r="PV5" i="24"/>
  <c r="PW4" i="24"/>
  <c r="PX4" i="24" l="1"/>
  <c r="PW5" i="24"/>
  <c r="PX5" i="24" l="1"/>
  <c r="PY4" i="24"/>
  <c r="PZ4" i="24" l="1"/>
  <c r="PY5" i="24"/>
  <c r="QA4" i="24" l="1"/>
  <c r="PZ5" i="24"/>
  <c r="QB4" i="24" l="1"/>
  <c r="QA5" i="24"/>
  <c r="QB5" i="24" l="1"/>
  <c r="QC4" i="24"/>
  <c r="QC2" i="24" l="1"/>
  <c r="QC5" i="24"/>
  <c r="QC3" i="24"/>
  <c r="QD4" i="24"/>
  <c r="QD5" i="24" l="1"/>
  <c r="QE4" i="24"/>
  <c r="QF4" i="24" l="1"/>
  <c r="QE5" i="24"/>
  <c r="QF5" i="24" l="1"/>
  <c r="QG4" i="24"/>
  <c r="QH4" i="24" l="1"/>
  <c r="QG5" i="24"/>
  <c r="QI4" i="24" l="1"/>
  <c r="QH5" i="24"/>
  <c r="QJ4" i="24" l="1"/>
  <c r="QI5" i="24"/>
  <c r="QJ2" i="24" l="1"/>
  <c r="QJ5" i="24"/>
  <c r="QK4" i="24"/>
  <c r="QJ3" i="24"/>
  <c r="QL4" i="24" l="1"/>
  <c r="QK5" i="24"/>
  <c r="QL5" i="24" l="1"/>
  <c r="QM4" i="24"/>
  <c r="QN4" i="24" l="1"/>
  <c r="QM5" i="24"/>
  <c r="QN5" i="24" l="1"/>
  <c r="QO4" i="24"/>
  <c r="QP4" i="24" l="1"/>
  <c r="QO5" i="24"/>
  <c r="QQ4" i="24" l="1"/>
  <c r="QP5" i="24"/>
  <c r="QQ2" i="24" l="1"/>
  <c r="QR4" i="24"/>
  <c r="QQ5" i="24"/>
  <c r="QQ3" i="24"/>
  <c r="QR5" i="24" l="1"/>
  <c r="QS4" i="24"/>
  <c r="QT4" i="24" l="1"/>
  <c r="QS5" i="24"/>
  <c r="QU4" i="24" l="1"/>
  <c r="QT5" i="24"/>
  <c r="QV4" i="24" l="1"/>
  <c r="QU5" i="24"/>
  <c r="QV5" i="24" l="1"/>
  <c r="QW4" i="24"/>
  <c r="QW5" i="24" l="1"/>
  <c r="QX4" i="24"/>
  <c r="QX2" i="24" l="1"/>
  <c r="QX3" i="24"/>
  <c r="QX5" i="24"/>
  <c r="QY4" i="24"/>
  <c r="QZ4" i="24" l="1"/>
  <c r="QY5" i="24"/>
  <c r="QZ5" i="24" l="1"/>
  <c r="RA4" i="24"/>
  <c r="RB4" i="24" l="1"/>
  <c r="RA5" i="24"/>
  <c r="RC4" i="24" l="1"/>
  <c r="RB5" i="24"/>
  <c r="RD4" i="24" l="1"/>
  <c r="RC5" i="24"/>
  <c r="RD5" i="24" l="1"/>
  <c r="RE4" i="24"/>
  <c r="RF4" i="24" l="1"/>
  <c r="RE2" i="24"/>
  <c r="RE3" i="24"/>
  <c r="RE5" i="24"/>
  <c r="RG4" i="24" l="1"/>
  <c r="RF5" i="24"/>
  <c r="RH4" i="24" l="1"/>
  <c r="RG5" i="24"/>
  <c r="RH5" i="24" l="1"/>
  <c r="RI4" i="24"/>
  <c r="RJ4" i="24" l="1"/>
  <c r="RI5" i="24"/>
  <c r="RK4" i="24" l="1"/>
  <c r="RJ5" i="24"/>
  <c r="RL4" i="24" l="1"/>
  <c r="RK5" i="24"/>
  <c r="RL2" i="24" l="1"/>
  <c r="RL5" i="24"/>
  <c r="RL3" i="24"/>
  <c r="RM4" i="24"/>
  <c r="RM5" i="24" l="1"/>
  <c r="RN4" i="24"/>
  <c r="RO4" i="24" l="1"/>
  <c r="RN5" i="24"/>
  <c r="RO5" i="24" l="1"/>
  <c r="RP4" i="24"/>
  <c r="RQ4" i="24" l="1"/>
  <c r="RP5" i="24"/>
  <c r="RQ5" i="24" l="1"/>
  <c r="RR4" i="24"/>
  <c r="RS4" i="24" l="1"/>
  <c r="RR5" i="24"/>
  <c r="RS2" i="24" l="1"/>
  <c r="RS3" i="24"/>
  <c r="RT4" i="24"/>
  <c r="RS5" i="24"/>
  <c r="RU4" i="24" l="1"/>
  <c r="RT5" i="24"/>
  <c r="RV4" i="24" l="1"/>
  <c r="RU5" i="24"/>
  <c r="RW4" i="24" l="1"/>
  <c r="RV5" i="24"/>
  <c r="RX4" i="24" l="1"/>
  <c r="RW5" i="24"/>
  <c r="RX5" i="24" l="1"/>
  <c r="RY4" i="24"/>
  <c r="RZ4" i="24" l="1"/>
  <c r="RY5" i="24"/>
  <c r="RZ2" i="24" l="1"/>
  <c r="RZ3" i="24"/>
  <c r="RZ5" i="24"/>
  <c r="SA4" i="24"/>
  <c r="SA5" i="24" l="1"/>
  <c r="SB4" i="24"/>
  <c r="SC4" i="24" l="1"/>
  <c r="SB5" i="24"/>
  <c r="SC5" i="24" l="1"/>
  <c r="SD4" i="24"/>
  <c r="SE4" i="24" l="1"/>
  <c r="SD5" i="24"/>
  <c r="SF4" i="24" l="1"/>
  <c r="SE5" i="24"/>
  <c r="SF5" i="24" l="1"/>
  <c r="SG4" i="24"/>
  <c r="SG2" i="24" l="1"/>
  <c r="SG3" i="24"/>
  <c r="SH4" i="24"/>
  <c r="SG5" i="24"/>
  <c r="SH5" i="24" l="1"/>
  <c r="SI4" i="24"/>
  <c r="SJ4" i="24" l="1"/>
  <c r="SI5" i="24"/>
  <c r="SK4" i="24" l="1"/>
  <c r="SJ5" i="24"/>
  <c r="SK5" i="24" l="1"/>
  <c r="SL4" i="24"/>
  <c r="SL5" i="24" l="1"/>
  <c r="SM4" i="24"/>
  <c r="SN4" i="24" l="1"/>
  <c r="SM5" i="24"/>
  <c r="SN2" i="24" l="1"/>
  <c r="SO4" i="24"/>
  <c r="SN5" i="24"/>
  <c r="SN3" i="24"/>
  <c r="SO5" i="24" l="1"/>
  <c r="SP4" i="24"/>
  <c r="SQ4" i="24" l="1"/>
  <c r="SP5" i="24"/>
  <c r="SR4" i="24" l="1"/>
  <c r="SQ5" i="24"/>
  <c r="SS4" i="24" l="1"/>
  <c r="SR5" i="24"/>
  <c r="SS5" i="24" l="1"/>
  <c r="ST4" i="24"/>
  <c r="SU4" i="24" l="1"/>
  <c r="ST5" i="24"/>
  <c r="SU2" i="24" l="1"/>
  <c r="SU3" i="24"/>
  <c r="SV4" i="24"/>
  <c r="SU5" i="24"/>
  <c r="SW4" i="24" l="1"/>
  <c r="SV5" i="24"/>
  <c r="SX4" i="24" l="1"/>
  <c r="SW5" i="24"/>
  <c r="SY4" i="24" l="1"/>
  <c r="SX5" i="24"/>
  <c r="SZ4" i="24" l="1"/>
  <c r="SY5" i="24"/>
  <c r="SZ5" i="24" l="1"/>
  <c r="TA4" i="24"/>
  <c r="TB4" i="24" l="1"/>
  <c r="TA5" i="24"/>
  <c r="TB2" i="24" l="1"/>
  <c r="TB5" i="24"/>
  <c r="TB3" i="24"/>
  <c r="TC4" i="24"/>
  <c r="TC5" i="24" l="1"/>
  <c r="TD4" i="24"/>
  <c r="TD5" i="24" l="1"/>
  <c r="TE4" i="24"/>
  <c r="TE5" i="24" l="1"/>
  <c r="TF4" i="24"/>
  <c r="TG4" i="24" l="1"/>
  <c r="TF5" i="24"/>
  <c r="TG5" i="24" l="1"/>
  <c r="TH4" i="24"/>
  <c r="TH5" i="24" l="1"/>
  <c r="TI4" i="24"/>
  <c r="TI2" i="24" l="1"/>
  <c r="TI3" i="24"/>
  <c r="TJ4" i="24"/>
  <c r="TI5" i="24"/>
  <c r="TJ5" i="24" l="1"/>
  <c r="TK4" i="24"/>
  <c r="TK5" i="24" l="1"/>
  <c r="TL4" i="24"/>
  <c r="TM4" i="24" l="1"/>
  <c r="TL5" i="24"/>
  <c r="TN4" i="24" l="1"/>
  <c r="TM5" i="24"/>
  <c r="TN5" i="24" l="1"/>
  <c r="TO4" i="24"/>
  <c r="TP4" i="24" l="1"/>
  <c r="TO5" i="24"/>
  <c r="TP2" i="24" l="1"/>
  <c r="TQ4" i="24"/>
  <c r="TP3" i="24"/>
  <c r="TP5" i="24"/>
  <c r="TQ5" i="24" l="1"/>
  <c r="TR4" i="24"/>
  <c r="TR5" i="24" l="1"/>
  <c r="TS4" i="24"/>
  <c r="TT4" i="24" l="1"/>
  <c r="TS5" i="24"/>
  <c r="TU4" i="24" l="1"/>
  <c r="TT5" i="24"/>
  <c r="TV4" i="24" l="1"/>
  <c r="TU5" i="24"/>
  <c r="TW4" i="24" l="1"/>
  <c r="TV5" i="24"/>
  <c r="TW2" i="24" l="1"/>
  <c r="TW3" i="24"/>
  <c r="TX4" i="24"/>
  <c r="TW5" i="24"/>
  <c r="TY4" i="24" l="1"/>
  <c r="TX5" i="24"/>
  <c r="TZ4" i="24" l="1"/>
  <c r="TY5" i="24"/>
  <c r="TZ5" i="24" l="1"/>
  <c r="UA4" i="24"/>
  <c r="UB4" i="24" l="1"/>
  <c r="UA5" i="24"/>
  <c r="UC4" i="24" l="1"/>
  <c r="UB5" i="24"/>
  <c r="UD4" i="24" l="1"/>
  <c r="UC5" i="24"/>
  <c r="UD2" i="24" l="1"/>
  <c r="UD5" i="24"/>
  <c r="UD3" i="24"/>
  <c r="UE4" i="24"/>
  <c r="UE5" i="24" l="1"/>
  <c r="UF4" i="24"/>
  <c r="UF5" i="24" l="1"/>
  <c r="UG4" i="24"/>
  <c r="UG5" i="24" l="1"/>
  <c r="UH4" i="24"/>
  <c r="UI4" i="24" l="1"/>
  <c r="UH5" i="24"/>
  <c r="UI5" i="24" l="1"/>
  <c r="UJ4" i="24"/>
  <c r="UJ5" i="24" l="1"/>
  <c r="UK4" i="24"/>
  <c r="UK5" i="24" l="1"/>
  <c r="UK3" i="24"/>
  <c r="UK2" i="24"/>
  <c r="UL4" i="24"/>
  <c r="UL5" i="24" l="1"/>
  <c r="UM4" i="24"/>
  <c r="UN4" i="24" l="1"/>
  <c r="UM5" i="24"/>
  <c r="UN5" i="24" l="1"/>
  <c r="UO4" i="24"/>
  <c r="UO5" i="24" l="1"/>
  <c r="UP4" i="24"/>
  <c r="UQ4" i="24" l="1"/>
  <c r="UP5" i="24"/>
  <c r="UR4" i="24" l="1"/>
  <c r="UQ5" i="24"/>
  <c r="UR2" i="24" l="1"/>
  <c r="US4" i="24"/>
  <c r="UR3" i="24"/>
  <c r="UR5" i="24"/>
  <c r="US5" i="24" l="1"/>
  <c r="UT4" i="24"/>
  <c r="UU4" i="24" l="1"/>
  <c r="UT5" i="24"/>
  <c r="UV4" i="24" l="1"/>
  <c r="UU5" i="24"/>
  <c r="UW4" i="24" l="1"/>
  <c r="UV5" i="24"/>
  <c r="UX4" i="24" l="1"/>
  <c r="UW5" i="24"/>
  <c r="UX5" i="24" l="1"/>
  <c r="UY4" i="24"/>
  <c r="UY2" i="24" l="1"/>
  <c r="UY5" i="24"/>
  <c r="UY3" i="24"/>
  <c r="UZ4" i="24"/>
  <c r="UZ5" i="24" l="1"/>
  <c r="VA4" i="24"/>
  <c r="VB4" i="24" l="1"/>
  <c r="VA5" i="24"/>
  <c r="VB5" i="24" l="1"/>
  <c r="VC4" i="24"/>
  <c r="VC5" i="24" l="1"/>
  <c r="VD4" i="24"/>
  <c r="VD5" i="24" l="1"/>
  <c r="VE4" i="24"/>
  <c r="VF4" i="24" l="1"/>
  <c r="VE5" i="24"/>
  <c r="VF2" i="24" l="1"/>
  <c r="VF5" i="24"/>
  <c r="VG4" i="24"/>
  <c r="VF3" i="24"/>
  <c r="VG5" i="24" l="1"/>
  <c r="VH4" i="24"/>
  <c r="VH5" i="24" l="1"/>
  <c r="VI4" i="24"/>
  <c r="VJ4" i="24" l="1"/>
  <c r="VI5" i="24"/>
  <c r="VJ5" i="24" l="1"/>
  <c r="VK4" i="24"/>
  <c r="VK5" i="24" l="1"/>
  <c r="VL4" i="24"/>
  <c r="VL5" i="24" l="1"/>
  <c r="VM4" i="24"/>
  <c r="VM2" i="24" l="1"/>
  <c r="VN4" i="24"/>
  <c r="VM5" i="24"/>
  <c r="VM3" i="24"/>
  <c r="VN5" i="24" l="1"/>
  <c r="VO4" i="24"/>
  <c r="VO5" i="24" l="1"/>
  <c r="VP4" i="24"/>
  <c r="VP5" i="24" l="1"/>
  <c r="VQ4" i="24"/>
  <c r="VQ5" i="24" l="1"/>
  <c r="VR4" i="24"/>
  <c r="VR5" i="24" l="1"/>
  <c r="VS4" i="24"/>
  <c r="VS5" i="24" l="1"/>
  <c r="VT4" i="24"/>
  <c r="VT2" i="24" l="1"/>
  <c r="VT5" i="24"/>
  <c r="VT3" i="24"/>
  <c r="VU4" i="24"/>
  <c r="VU5" i="24" l="1"/>
  <c r="VV4" i="24"/>
  <c r="VV5" i="24" l="1"/>
  <c r="VW4" i="24"/>
  <c r="VW5" i="24" l="1"/>
  <c r="VX4" i="24"/>
  <c r="VX5" i="24" l="1"/>
  <c r="VY4" i="24"/>
  <c r="VZ4" i="24" l="1"/>
  <c r="VY5" i="24"/>
  <c r="VZ5" i="24" l="1"/>
  <c r="WA4" i="24"/>
  <c r="WA2" i="24" l="1"/>
  <c r="WA5" i="24"/>
  <c r="WB4" i="24"/>
  <c r="WA3" i="24"/>
  <c r="WB5" i="24" l="1"/>
  <c r="WC4" i="24"/>
  <c r="WD4" i="24" l="1"/>
  <c r="WC5" i="24"/>
  <c r="WD5" i="24" l="1"/>
  <c r="WE4" i="24"/>
  <c r="WE5" i="24" l="1"/>
  <c r="WF4" i="24"/>
  <c r="WF5" i="24" l="1"/>
  <c r="WG4" i="24"/>
  <c r="WG5" i="24" l="1"/>
  <c r="WH4" i="24"/>
  <c r="WH2" i="24" l="1"/>
  <c r="WH5" i="24"/>
  <c r="WI4" i="24"/>
  <c r="WH3" i="24"/>
  <c r="WI5" i="24" l="1"/>
  <c r="WJ4" i="24"/>
  <c r="WJ5" i="24" l="1"/>
  <c r="WK4" i="24"/>
  <c r="WK5" i="24" l="1"/>
  <c r="WL4" i="24"/>
  <c r="WL5" i="24" l="1"/>
  <c r="WM4" i="24"/>
  <c r="WM5" i="24" l="1"/>
  <c r="WN4" i="24"/>
  <c r="WN5" i="24" l="1"/>
  <c r="WO4" i="24"/>
  <c r="WO2" i="24" l="1"/>
  <c r="WP4" i="24"/>
  <c r="WO5" i="24"/>
  <c r="WO3" i="24"/>
  <c r="WP5" i="24" l="1"/>
  <c r="WQ4" i="24"/>
  <c r="WQ5" i="24" l="1"/>
  <c r="WR4" i="24"/>
  <c r="WR5" i="24" l="1"/>
  <c r="WS4" i="24"/>
  <c r="WT4" i="24" l="1"/>
  <c r="WS5" i="24"/>
  <c r="WT5" i="24" l="1"/>
  <c r="WU4" i="24"/>
  <c r="WU5" i="24" l="1"/>
  <c r="WV4" i="24"/>
  <c r="WV2" i="24" l="1"/>
  <c r="WV5" i="24"/>
  <c r="WV3" i="24"/>
  <c r="WW4" i="24"/>
  <c r="WW5" i="24" l="1"/>
  <c r="WX4" i="24"/>
  <c r="WX5" i="24" l="1"/>
  <c r="WY4" i="24"/>
  <c r="WY5" i="24" l="1"/>
  <c r="WZ4" i="24"/>
  <c r="WZ5" i="24" l="1"/>
  <c r="XA4" i="24"/>
  <c r="XA5" i="24" l="1"/>
  <c r="XB4" i="24"/>
  <c r="XB5" i="24" l="1"/>
  <c r="XC4" i="24"/>
  <c r="XC2" i="24" l="1"/>
  <c r="XC5" i="24"/>
  <c r="XC3" i="24"/>
  <c r="XD4" i="24"/>
  <c r="XD5" i="24" l="1"/>
  <c r="XE4" i="24"/>
  <c r="XF4" i="24" l="1"/>
  <c r="XE5" i="24"/>
  <c r="XF5" i="24" l="1"/>
  <c r="XG4" i="24"/>
  <c r="XG5" i="24" l="1"/>
  <c r="XH4" i="24"/>
  <c r="XH5" i="24" l="1"/>
  <c r="XI4" i="24"/>
  <c r="XJ4" i="24" l="1"/>
  <c r="XI5" i="24"/>
  <c r="XJ2" i="24" l="1"/>
  <c r="XJ5" i="24"/>
  <c r="XK4" i="24"/>
  <c r="XJ3" i="24"/>
  <c r="XK5" i="24" l="1"/>
  <c r="XL4" i="24"/>
  <c r="XL5" i="24" l="1"/>
  <c r="XM4" i="24"/>
  <c r="XM5" i="24" l="1"/>
  <c r="XN4" i="24"/>
  <c r="XN5" i="24" l="1"/>
  <c r="XO4" i="24"/>
  <c r="XO5" i="24" l="1"/>
  <c r="XP4" i="24"/>
  <c r="XP5" i="24" l="1"/>
  <c r="XQ4" i="24"/>
  <c r="XQ2" i="24" l="1"/>
  <c r="XQ5" i="24"/>
  <c r="XR4" i="24"/>
  <c r="XQ3" i="24"/>
  <c r="XR5" i="24" l="1"/>
  <c r="XS4" i="24"/>
  <c r="XS5" i="24" l="1"/>
  <c r="XT4" i="24"/>
  <c r="XT5" i="24" l="1"/>
  <c r="XU4" i="24"/>
  <c r="XV4" i="24" l="1"/>
  <c r="XU5" i="24"/>
  <c r="XV5" i="24" l="1"/>
  <c r="XW4" i="24"/>
  <c r="XW5" i="24" l="1"/>
  <c r="XX4" i="24"/>
  <c r="XX2" i="24" l="1"/>
  <c r="XX5" i="24"/>
  <c r="XX3" i="24"/>
  <c r="XY4" i="24"/>
  <c r="XZ4" i="24" l="1"/>
  <c r="XY5" i="24"/>
  <c r="XZ5" i="24" l="1"/>
  <c r="YA4" i="24"/>
  <c r="YA5" i="24" l="1"/>
  <c r="YB4" i="24"/>
  <c r="YB5" i="24" l="1"/>
  <c r="YC4" i="24"/>
  <c r="YC5" i="24" l="1"/>
  <c r="YD4" i="24"/>
  <c r="YD5" i="24" l="1"/>
  <c r="YE4" i="24"/>
  <c r="YE2" i="24" l="1"/>
  <c r="YE5" i="24"/>
  <c r="YF4" i="24"/>
  <c r="YE3" i="24"/>
  <c r="YF5" i="24" l="1"/>
  <c r="YG4" i="24"/>
  <c r="YG5" i="24" l="1"/>
  <c r="YH4" i="24"/>
  <c r="YH5" i="24" l="1"/>
  <c r="YI4" i="24"/>
  <c r="YI5" i="24" l="1"/>
  <c r="YJ4" i="24"/>
  <c r="YJ5" i="24" l="1"/>
  <c r="YK4" i="24"/>
  <c r="YL4" i="24" l="1"/>
  <c r="YK5" i="24"/>
  <c r="YL2" i="24" l="1"/>
  <c r="YL5" i="24"/>
  <c r="YM4" i="24"/>
  <c r="YL3" i="24"/>
  <c r="YM5" i="24" l="1"/>
  <c r="YN4" i="24"/>
  <c r="YN5" i="24" l="1"/>
  <c r="YO4" i="24"/>
  <c r="YP4" i="24" l="1"/>
  <c r="YO5" i="24"/>
  <c r="YP5" i="24" l="1"/>
  <c r="YQ4" i="24"/>
  <c r="YQ5" i="24" l="1"/>
  <c r="YR4" i="24"/>
  <c r="YR5" i="24" l="1"/>
  <c r="YS4" i="24"/>
  <c r="YS2" i="24" l="1"/>
  <c r="YS5" i="24"/>
  <c r="YT4" i="24"/>
  <c r="YS3" i="24"/>
  <c r="YU4" i="24" l="1"/>
  <c r="YT5" i="24"/>
  <c r="YU5" i="24" l="1"/>
  <c r="YV4" i="24"/>
  <c r="YV5" i="24" l="1"/>
  <c r="YW4" i="24"/>
  <c r="YW5" i="24" l="1"/>
  <c r="YX4" i="24"/>
  <c r="YX5" i="24" l="1"/>
  <c r="YY4" i="24"/>
  <c r="YY5" i="24" l="1"/>
  <c r="YZ4" i="24"/>
  <c r="YZ2" i="24" l="1"/>
  <c r="YZ5" i="24"/>
  <c r="YZ3" i="24"/>
  <c r="ZA4" i="24"/>
  <c r="ZB4" i="24" l="1"/>
  <c r="ZA5" i="24"/>
  <c r="ZB5" i="24" l="1"/>
  <c r="ZC4" i="24"/>
  <c r="ZC5" i="24" l="1"/>
  <c r="ZD4" i="24"/>
  <c r="ZD5" i="24" l="1"/>
  <c r="ZE4" i="24"/>
  <c r="ZF4" i="24" l="1"/>
  <c r="ZE5" i="24"/>
  <c r="ZF5" i="24" l="1"/>
  <c r="ZG4" i="24"/>
  <c r="ZG2" i="24" l="1"/>
  <c r="ZG5" i="24"/>
  <c r="ZG3" i="24"/>
  <c r="ZH4" i="24"/>
  <c r="ZH5" i="24" l="1"/>
  <c r="ZI4" i="24"/>
  <c r="ZI5" i="24" l="1"/>
  <c r="ZJ4" i="24"/>
  <c r="ZJ5" i="24" l="1"/>
  <c r="ZK4" i="24"/>
  <c r="ZK5" i="24" l="1"/>
  <c r="ZL4" i="24"/>
  <c r="ZL5" i="24" l="1"/>
  <c r="ZM4" i="24"/>
  <c r="ZM5" i="24" l="1"/>
  <c r="ZN4" i="24"/>
  <c r="ZN2" i="24" l="1"/>
  <c r="ZN5" i="24"/>
  <c r="ZO4" i="24"/>
  <c r="ZN3" i="24"/>
  <c r="ZO5" i="24" l="1"/>
  <c r="ZP4" i="24"/>
  <c r="ZQ4" i="24" l="1"/>
  <c r="ZP5" i="24"/>
  <c r="ZR4" i="24" l="1"/>
  <c r="ZQ5" i="24"/>
  <c r="ZR5" i="24" l="1"/>
  <c r="ZS4" i="24"/>
  <c r="ZS5" i="24" l="1"/>
  <c r="ZT4" i="24"/>
  <c r="ZU4" i="24" l="1"/>
  <c r="ZT5" i="24"/>
  <c r="ZU2" i="24" l="1"/>
  <c r="ZU3" i="24"/>
  <c r="ZV4" i="24"/>
  <c r="ZU5" i="24"/>
  <c r="ZW4" i="24" l="1"/>
  <c r="ZV5" i="24"/>
  <c r="ZW5" i="24" l="1"/>
  <c r="ZX4" i="24"/>
  <c r="ZX5" i="24" l="1"/>
  <c r="ZY4" i="24"/>
  <c r="ZY5" i="24" l="1"/>
  <c r="ZZ4" i="24"/>
  <c r="ZZ5" i="24" l="1"/>
  <c r="AAA4" i="24"/>
  <c r="AAA5" i="24" l="1"/>
  <c r="AAB4" i="24"/>
  <c r="AAB2" i="24" l="1"/>
  <c r="AAC4" i="24"/>
  <c r="AAB5" i="24"/>
  <c r="AAB3" i="24"/>
  <c r="AAC5" i="24" l="1"/>
  <c r="AAD4" i="24"/>
  <c r="AAD5" i="24" l="1"/>
  <c r="AAE4" i="24"/>
  <c r="AAE5" i="24" l="1"/>
  <c r="AAF4" i="24"/>
  <c r="AAF5" i="24" l="1"/>
  <c r="AAG4" i="24"/>
  <c r="AAG5" i="24" l="1"/>
  <c r="AAH4" i="24"/>
  <c r="AAH5" i="24" l="1"/>
  <c r="AAI4" i="24"/>
  <c r="AAI2" i="24" l="1"/>
  <c r="AAI3" i="24"/>
  <c r="AAI5" i="24"/>
  <c r="AAJ4" i="24"/>
  <c r="AAJ5" i="24" l="1"/>
  <c r="AAK4" i="24"/>
  <c r="AAL4" i="24" l="1"/>
  <c r="AAK5" i="24"/>
  <c r="AAL5" i="24" l="1"/>
  <c r="AAM4" i="24"/>
  <c r="AAN4" i="24" l="1"/>
  <c r="AAM5" i="24"/>
  <c r="AAN5" i="24" l="1"/>
  <c r="AAO4" i="24"/>
  <c r="AAO5" i="24" l="1"/>
  <c r="AAP4" i="24"/>
  <c r="AAP2" i="24" l="1"/>
  <c r="AAP3" i="24"/>
  <c r="AAP5" i="24"/>
  <c r="AAQ4" i="24"/>
  <c r="AAQ5" i="24" l="1"/>
  <c r="AAR4" i="24"/>
  <c r="AAR5" i="24" l="1"/>
  <c r="AAS4" i="24"/>
  <c r="AAS5" i="24" l="1"/>
  <c r="AAT4" i="24"/>
  <c r="AAT5" i="24" l="1"/>
  <c r="AAU4" i="24"/>
  <c r="AAU5" i="24" l="1"/>
  <c r="AAV4" i="24"/>
  <c r="AAV5" i="24" l="1"/>
  <c r="AAW4" i="24"/>
  <c r="AAW2" i="24" l="1"/>
  <c r="AAW3" i="24"/>
  <c r="AAX4" i="24"/>
  <c r="AAW5" i="24"/>
  <c r="AAX5" i="24" l="1"/>
  <c r="AAY4" i="24"/>
  <c r="AAY5" i="24" l="1"/>
  <c r="AAZ4" i="24"/>
  <c r="AAZ5" i="24" l="1"/>
  <c r="ABA4" i="24"/>
  <c r="ABB4" i="24" l="1"/>
  <c r="ABA5" i="24"/>
  <c r="ABB5" i="24" l="1"/>
  <c r="ABC4" i="24"/>
  <c r="ABD4" i="24" l="1"/>
  <c r="ABC5" i="24"/>
  <c r="ABD2" i="24" l="1"/>
  <c r="ABD5" i="24"/>
  <c r="ABD3" i="24"/>
  <c r="ABE4" i="24"/>
  <c r="ABE5" i="24" l="1"/>
  <c r="ABF4" i="24"/>
  <c r="ABF5" i="24" l="1"/>
  <c r="ABG4" i="24"/>
  <c r="ABG5" i="24" l="1"/>
  <c r="ABH4" i="24"/>
  <c r="ABH5" i="24" l="1"/>
  <c r="ABI4" i="24"/>
  <c r="ABI5" i="24" l="1"/>
  <c r="ABJ4" i="24"/>
  <c r="ABK4" i="24" l="1"/>
  <c r="ABJ5" i="24"/>
  <c r="ABK2" i="24" l="1"/>
  <c r="ABL4" i="24"/>
  <c r="ABK5" i="24"/>
  <c r="ABK3" i="24"/>
  <c r="ABL5" i="24" l="1"/>
  <c r="ABM4" i="24"/>
  <c r="ABN4" i="24" l="1"/>
  <c r="ABM5" i="24"/>
  <c r="ABN5" i="24" l="1"/>
  <c r="ABO4" i="24"/>
  <c r="ABO5" i="24" l="1"/>
  <c r="ABP4" i="24"/>
  <c r="ABP5" i="24" l="1"/>
  <c r="ABQ4" i="24"/>
  <c r="ABR4" i="24" l="1"/>
  <c r="ABQ5" i="24"/>
  <c r="ABR2" i="24" l="1"/>
  <c r="ABR3" i="24"/>
  <c r="ABS4" i="24"/>
  <c r="ABR5" i="24"/>
  <c r="ABS5" i="24" l="1"/>
  <c r="ABT4" i="24"/>
  <c r="ABT5" i="24" l="1"/>
  <c r="ABU4" i="24"/>
  <c r="ABU5" i="24" l="1"/>
  <c r="ABV4" i="24"/>
  <c r="ABV5" i="24" l="1"/>
  <c r="ABW4" i="24"/>
  <c r="ABW5" i="24" l="1"/>
  <c r="ABX4" i="24"/>
  <c r="ABY4" i="24" l="1"/>
  <c r="ABX5" i="24"/>
  <c r="ABY2" i="24" l="1"/>
  <c r="ABZ4" i="24"/>
  <c r="ABY5" i="24"/>
  <c r="ABY3" i="24"/>
  <c r="ABZ5" i="24" l="1"/>
  <c r="ACA4" i="24"/>
  <c r="ACA5" i="24" l="1"/>
  <c r="ACB4" i="24"/>
  <c r="ACB5" i="24" l="1"/>
  <c r="ACC4" i="24"/>
  <c r="ACD4" i="24" l="1"/>
  <c r="ACC5" i="24"/>
  <c r="ACD5" i="24" l="1"/>
  <c r="ACE4" i="24"/>
  <c r="ACE5" i="24" l="1"/>
  <c r="ACF4" i="24"/>
  <c r="ACF2" i="24" l="1"/>
  <c r="ACG4" i="24"/>
  <c r="ACF5" i="24"/>
  <c r="ACF3" i="24"/>
  <c r="ACH4" i="24" l="1"/>
  <c r="ACG5" i="24"/>
  <c r="ACH5" i="24" l="1"/>
  <c r="ACI4" i="24"/>
  <c r="ACI5" i="24" l="1"/>
  <c r="ACJ4" i="24"/>
  <c r="ACJ5" i="24" l="1"/>
  <c r="ACK4" i="24"/>
  <c r="ACK5" i="24" l="1"/>
  <c r="ACL4" i="24"/>
  <c r="ACL5" i="24" l="1"/>
  <c r="ACM4" i="24"/>
  <c r="ACM2" i="24" l="1"/>
  <c r="ACN4" i="24"/>
  <c r="ACM5" i="24"/>
  <c r="ACM3" i="24"/>
  <c r="ACN5" i="24" l="1"/>
  <c r="ACO4" i="24"/>
  <c r="ACO5" i="24" l="1"/>
  <c r="ACP4" i="24"/>
  <c r="ACP5" i="24" l="1"/>
  <c r="ACQ4" i="24"/>
  <c r="ACQ5" i="24" l="1"/>
  <c r="ACR4" i="24"/>
  <c r="ACR5" i="24" l="1"/>
  <c r="ACS4" i="24"/>
  <c r="ACT4" i="24" l="1"/>
  <c r="ACS5" i="24"/>
  <c r="ACT2" i="24" l="1"/>
  <c r="ACT3" i="24"/>
  <c r="ACU4" i="24"/>
  <c r="ACT5" i="24"/>
  <c r="ACU5" i="24" l="1"/>
  <c r="ACV4" i="24"/>
  <c r="ACV5" i="24" l="1"/>
  <c r="ACW4" i="24"/>
  <c r="ACX4" i="24" l="1"/>
  <c r="ACW5" i="24"/>
  <c r="ACY4" i="24" l="1"/>
  <c r="ACX5" i="24"/>
  <c r="ACZ4" i="24" l="1"/>
  <c r="ACY5" i="24"/>
  <c r="ACZ5" i="24" l="1"/>
  <c r="ADA4" i="24"/>
  <c r="ADA2" i="24" l="1"/>
  <c r="ADA3" i="24"/>
  <c r="ADA5" i="24"/>
  <c r="ADB4" i="24"/>
  <c r="ADB5" i="24" l="1"/>
  <c r="ADC4" i="24"/>
  <c r="ADD4" i="24" l="1"/>
  <c r="ADC5" i="24"/>
  <c r="ADE4" i="24" l="1"/>
  <c r="ADD5" i="24"/>
  <c r="ADF4" i="24" l="1"/>
  <c r="ADE5" i="24"/>
  <c r="ADG4" i="24" l="1"/>
  <c r="ADF5" i="24"/>
  <c r="ADG5" i="24" l="1"/>
  <c r="ADH4" i="24"/>
  <c r="ADH2" i="24" l="1"/>
  <c r="ADH5" i="24"/>
  <c r="ADI4" i="24"/>
  <c r="ADH3" i="24"/>
  <c r="ADJ4" i="24" l="1"/>
  <c r="ADI5" i="24"/>
  <c r="ADJ5" i="24" l="1"/>
  <c r="ADK4" i="24"/>
  <c r="ADL4" i="24" l="1"/>
  <c r="ADK5" i="24"/>
  <c r="ADL5" i="24" l="1"/>
  <c r="ADM4" i="24"/>
  <c r="ADM5" i="24" l="1"/>
  <c r="ADN4" i="24"/>
  <c r="ADN5" i="24" l="1"/>
  <c r="ADO4" i="24"/>
  <c r="ADO2" i="24" l="1"/>
  <c r="ADO3" i="24"/>
  <c r="ADO5" i="24"/>
  <c r="ADP4" i="24"/>
  <c r="ADP5" i="24" l="1"/>
  <c r="ADQ4" i="24"/>
  <c r="ADR4" i="24" l="1"/>
  <c r="ADQ5" i="24"/>
  <c r="ADS4" i="24" l="1"/>
  <c r="ADR5" i="24"/>
  <c r="ADT4" i="24" l="1"/>
  <c r="ADS5" i="24"/>
  <c r="ADT5" i="24" l="1"/>
  <c r="ADU4" i="24"/>
  <c r="ADU5" i="24" l="1"/>
  <c r="ADV4" i="24"/>
  <c r="ADV2" i="24" l="1"/>
  <c r="ADV3" i="24"/>
  <c r="ADW4" i="24"/>
  <c r="ADV5" i="24"/>
  <c r="ADX4" i="24" l="1"/>
  <c r="ADW5" i="24"/>
  <c r="ADY4" i="24" l="1"/>
  <c r="ADX5" i="24"/>
  <c r="ADY5" i="24" l="1"/>
  <c r="ADZ4" i="24"/>
  <c r="AEA4" i="24" l="1"/>
  <c r="ADZ5" i="24"/>
  <c r="AEA5" i="24" l="1"/>
  <c r="AEB4" i="24"/>
  <c r="AEC4" i="24" l="1"/>
  <c r="AEB5" i="24"/>
  <c r="AEC2" i="24" l="1"/>
  <c r="AEC3" i="24"/>
  <c r="AED4" i="24"/>
  <c r="AEC5" i="24"/>
  <c r="AEE4" i="24" l="1"/>
  <c r="AED5" i="24"/>
  <c r="AEF4" i="24" l="1"/>
  <c r="AEE5" i="24"/>
  <c r="AEF5" i="24" l="1"/>
  <c r="AEG4" i="24"/>
  <c r="AEH4" i="24" l="1"/>
  <c r="AEG5" i="24"/>
  <c r="AEI4" i="24" l="1"/>
  <c r="AEH5" i="24"/>
  <c r="AEJ4" i="24" l="1"/>
  <c r="AEI5" i="24"/>
  <c r="AEJ2" i="24" l="1"/>
  <c r="AEJ5" i="24"/>
  <c r="AEJ3" i="24"/>
  <c r="AEK4" i="24"/>
  <c r="AEL4" i="24" l="1"/>
  <c r="AEK5" i="24"/>
  <c r="AEM4" i="24" l="1"/>
  <c r="AEL5" i="24"/>
  <c r="AEN4" i="24" l="1"/>
  <c r="AEM5" i="24"/>
  <c r="AEN5" i="24" l="1"/>
  <c r="AEO4" i="24"/>
  <c r="AEP4" i="24" l="1"/>
  <c r="AEO5" i="24"/>
  <c r="AEQ4" i="24" l="1"/>
  <c r="AEP5" i="24"/>
  <c r="AEQ2" i="24" l="1"/>
  <c r="AEQ3" i="24"/>
  <c r="AER4" i="24"/>
  <c r="AEQ5" i="24"/>
  <c r="AER5" i="24" l="1"/>
  <c r="AES4" i="24"/>
  <c r="AET4" i="24" l="1"/>
  <c r="AES5" i="24"/>
  <c r="AEU4" i="24" l="1"/>
  <c r="AET5" i="24"/>
  <c r="AEV4" i="24" l="1"/>
  <c r="AEU5" i="24"/>
  <c r="AEV5" i="24" l="1"/>
  <c r="AEW4" i="24"/>
  <c r="AEX4" i="24" l="1"/>
  <c r="AEW5" i="24"/>
  <c r="AEX2" i="24" l="1"/>
  <c r="AEX3" i="24"/>
  <c r="AEY4" i="24"/>
  <c r="AEX5" i="24"/>
  <c r="AEZ4" i="24" l="1"/>
  <c r="AEY5" i="24"/>
  <c r="AEZ5" i="24" l="1"/>
  <c r="AFA4" i="24"/>
  <c r="AFB4" i="24" l="1"/>
  <c r="AFA5" i="24"/>
  <c r="AFC4" i="24" l="1"/>
  <c r="AFB5" i="24"/>
  <c r="AFD4" i="24" l="1"/>
  <c r="AFD5" i="24" s="1"/>
  <c r="AFC5" i="24"/>
  <c r="D61" i="2" l="1"/>
  <c r="D62" i="2"/>
  <c r="D63" i="2"/>
  <c r="D64" i="2"/>
  <c r="D65" i="2"/>
  <c r="D66" i="2"/>
  <c r="D67" i="2"/>
  <c r="D68" i="2"/>
  <c r="D69" i="2"/>
  <c r="D70" i="2"/>
  <c r="D71" i="2"/>
  <c r="D72" i="2"/>
  <c r="D56" i="2"/>
  <c r="D57" i="2"/>
  <c r="D58" i="2"/>
  <c r="D59" i="2"/>
  <c r="D60" i="2"/>
  <c r="D45" i="2"/>
  <c r="D46" i="2"/>
  <c r="D47" i="2"/>
  <c r="D48" i="2"/>
  <c r="D49" i="2"/>
  <c r="D50" i="2"/>
  <c r="D51" i="2"/>
  <c r="D52" i="2"/>
  <c r="D53" i="2"/>
  <c r="D54" i="2"/>
  <c r="D55" i="2"/>
  <c r="X2" i="19" l="1"/>
  <c r="W2" i="19"/>
  <c r="V2" i="19"/>
  <c r="U2" i="19"/>
  <c r="T2" i="19"/>
  <c r="B8" i="2" l="1"/>
  <c r="N1" i="2" s="1"/>
  <c r="P16" i="2" l="1"/>
  <c r="O16" i="2"/>
  <c r="O12" i="2" s="1"/>
  <c r="P12" i="2" s="1"/>
  <c r="C8" i="26"/>
  <c r="C9" i="26" s="1"/>
  <c r="B13" i="26"/>
  <c r="O14" i="2" l="1"/>
  <c r="P14" i="2" s="1"/>
  <c r="O9" i="2"/>
  <c r="P9" i="2" s="1"/>
  <c r="O13" i="2"/>
  <c r="P13" i="2" s="1"/>
  <c r="O19" i="2"/>
  <c r="P19" i="2" s="1"/>
  <c r="O22" i="2"/>
  <c r="P22" i="2" s="1"/>
  <c r="O21" i="2"/>
  <c r="P21" i="2" s="1"/>
  <c r="O23" i="2"/>
  <c r="P23" i="2" s="1"/>
  <c r="O10" i="2"/>
  <c r="P10" i="2" s="1"/>
  <c r="O18" i="2"/>
  <c r="P18" i="2" s="1"/>
  <c r="O20" i="2"/>
  <c r="P20" i="2" s="1"/>
  <c r="O11" i="2"/>
  <c r="P11" i="2" s="1"/>
  <c r="O17" i="2"/>
  <c r="P17" i="2" s="1"/>
  <c r="O15" i="2"/>
  <c r="P15" i="2" s="1"/>
  <c r="O2" i="2"/>
  <c r="O5" i="2" s="1"/>
  <c r="C10" i="26"/>
  <c r="C13" i="26"/>
  <c r="P2" i="2" l="1"/>
  <c r="E22" i="26" l="1"/>
  <c r="E25" i="26"/>
  <c r="E17" i="26"/>
  <c r="E15" i="26"/>
  <c r="E31" i="26"/>
  <c r="E29" i="26"/>
  <c r="E16" i="26"/>
  <c r="E18" i="26"/>
  <c r="E21" i="26"/>
  <c r="E23" i="26"/>
  <c r="E26" i="26"/>
  <c r="E19" i="26"/>
  <c r="E28" i="26"/>
  <c r="E30" i="26"/>
  <c r="E27" i="26"/>
  <c r="E24" i="26"/>
  <c r="E20" i="26"/>
  <c r="BY1" i="2" l="1"/>
  <c r="BX1" i="2"/>
  <c r="BV1" i="2"/>
  <c r="BZ1" i="2"/>
  <c r="BW1" i="2"/>
  <c r="A9" i="24" l="1"/>
  <c r="A11" i="24" s="1"/>
  <c r="A12" i="24" s="1"/>
</calcChain>
</file>

<file path=xl/sharedStrings.xml><?xml version="1.0" encoding="utf-8"?>
<sst xmlns="http://schemas.openxmlformats.org/spreadsheetml/2006/main" count="1229" uniqueCount="597">
  <si>
    <t>none</t>
  </si>
  <si>
    <t>Vacation</t>
  </si>
  <si>
    <t>Last</t>
  </si>
  <si>
    <t>Header Optisch IDC</t>
  </si>
  <si>
    <t>send factor upper</t>
  </si>
  <si>
    <t>send factor lower</t>
  </si>
  <si>
    <t>TASK</t>
  </si>
  <si>
    <t>Subject</t>
  </si>
  <si>
    <t>PREDECESSOR</t>
  </si>
  <si>
    <t>START</t>
  </si>
  <si>
    <t>END</t>
  </si>
  <si>
    <t>DAYS</t>
  </si>
  <si>
    <t>% DONE</t>
  </si>
  <si>
    <t>WORK DAYS</t>
  </si>
  <si>
    <t>Meeting Schedule</t>
  </si>
  <si>
    <t>Start Week Date</t>
  </si>
  <si>
    <t>Woche</t>
  </si>
  <si>
    <t xml:space="preserve"> improvement</t>
  </si>
  <si>
    <t>Activity</t>
  </si>
  <si>
    <t>Flash</t>
  </si>
  <si>
    <t>scope</t>
  </si>
  <si>
    <t>process</t>
  </si>
  <si>
    <t>July 20</t>
  </si>
  <si>
    <t>When the lunar module Eagle landed in the Sea of Tranquility at 13 hours, 19
minutes, 39.9 seconds Eastern Standard Time on ____________, 1969, the event was hailed
as one of history’s major milestones.  Out of that grew the modern concept of project
management.</t>
  </si>
  <si>
    <t>PMBOK stands for</t>
  </si>
  <si>
    <t>Project Management Body of Knowledge</t>
  </si>
  <si>
    <t>The word discipline has the following two definitions: (1) ____________ used to maintain control; and (2) a branch of learning supported by mental, moral, or physical training.</t>
  </si>
  <si>
    <t>the rules</t>
  </si>
  <si>
    <t>Project Management is a branch of learning that deals with the planning, monitoring, and __________ of one-time endeavors.</t>
  </si>
  <si>
    <t>controlling</t>
  </si>
  <si>
    <t>Project management is the application of_____________, skills, tools, and techniques to project activities to meet project requirements.</t>
  </si>
  <si>
    <t xml:space="preserve"> knowledge</t>
  </si>
  <si>
    <t>Project Handbook</t>
  </si>
  <si>
    <t xml:space="preserve"> learning </t>
  </si>
  <si>
    <t>Project management is a branch of________________that deals with the planning, monitoring, and controlling of one-time endeavors.</t>
  </si>
  <si>
    <t>Project management  is a branch of learning that deals with the planning,, and controlling of one-time endeavors.</t>
  </si>
  <si>
    <t>one-time endeavor</t>
  </si>
  <si>
    <t>Project management  is a branch of learning that deals with the planning, monitoring, and controlling of ___________________.</t>
  </si>
  <si>
    <t>PMBOK® Guide</t>
  </si>
  <si>
    <t>______________—the professional standard published by the Project Management Institute (PMI).</t>
  </si>
  <si>
    <t>The PMBOK® Guide, while of tremendous value in describing the parameters of the
field, was never intended as a ____________ manual for running a project. Instead,
it functions more as an ideal, or pure, vision of project management.</t>
  </si>
  <si>
    <t>step-by-step</t>
  </si>
  <si>
    <t>What do Wall Street and Main Street have in common? Both measure success relative to these  three measures.</t>
  </si>
  <si>
    <t>speed, quality, and teamwork</t>
  </si>
  <si>
    <t>Projects are mini-________________, and each project is a crucial microcosm of any business or organization.</t>
  </si>
  <si>
    <t>enterprises</t>
  </si>
  <si>
    <t>Projects are_______________ that result in a single unit of output.</t>
  </si>
  <si>
    <t xml:space="preserve"> unique undertakings</t>
  </si>
  <si>
    <t xml:space="preserve"> single unit</t>
  </si>
  <si>
    <t>Projects are unique undertakings that result in a____________ of output.</t>
  </si>
  <si>
    <t>A  unique ______________ is one that is not likely to be repeated frequently.</t>
  </si>
  <si>
    <t xml:space="preserve"> undertaking</t>
  </si>
  <si>
    <t>Projects are composed of______________ activities.</t>
  </si>
  <si>
    <t xml:space="preserve"> interdependent</t>
  </si>
  <si>
    <t>In some situations, one activity must be completed before another can begin. Generally, these ____________are difficult to violate, or to do so just does not make sense.</t>
  </si>
  <si>
    <t xml:space="preserve">mandatory relationships </t>
  </si>
  <si>
    <t>The relationship of other activities is not as obvious or as restrictive. These more______________- interdependencies are based on the preferences of the people developing the plan.</t>
  </si>
  <si>
    <t xml:space="preserve"> discretionary</t>
  </si>
  <si>
    <t>Some activities are dependent on some ___________, such as receiving the materials from the vendor.</t>
  </si>
  <si>
    <t>external event</t>
  </si>
  <si>
    <t>In any of these three instances, mandatory, discretionary, or external, activities have a______________ one to another.</t>
  </si>
  <si>
    <t xml:space="preserve"> relationship</t>
  </si>
  <si>
    <t>Each project creates its own _______________-, which must meet standards of performance criteria.</t>
  </si>
  <si>
    <t>deliverable(s)</t>
  </si>
  <si>
    <t>Each deliverable from every project must be_______________________.</t>
  </si>
  <si>
    <t>Each deliverable from every project must be quality controlled</t>
  </si>
  <si>
    <t>If the deliverable does not meet its_______________ quality criteria, that project cannot be considered complete.</t>
  </si>
  <si>
    <t xml:space="preserve"> quantifiable</t>
  </si>
  <si>
    <t>Projects involve multiple______________ which require close coordination</t>
  </si>
  <si>
    <t xml:space="preserve"> resources</t>
  </si>
  <si>
    <t>Generally there are a variety of_______________, each with its own unique technologies, skills, and traits.</t>
  </si>
  <si>
    <t>The human aspects of  human as resources, leads to an inherent characteristic of project ______________.</t>
  </si>
  <si>
    <t xml:space="preserve"> conflict</t>
  </si>
  <si>
    <t>There is_______________- among resources as to their concepts, approaches, theories, techniques, and so on</t>
  </si>
  <si>
    <t>There is conflict for resources as to quantity, timing, and specific_________________.</t>
  </si>
  <si>
    <t xml:space="preserve"> assignments</t>
  </si>
  <si>
    <t>Projects are not synonymous with the_____________</t>
  </si>
  <si>
    <t xml:space="preserve"> products</t>
  </si>
  <si>
    <t>Projects are driven by _____________.</t>
  </si>
  <si>
    <t>competing constraints.</t>
  </si>
  <si>
    <t>The competing project constraints represent the balance of___________, quality, schedule, budget, resources, and risks, among
other factors.</t>
  </si>
  <si>
    <t xml:space="preserve"> scope</t>
  </si>
  <si>
    <t>The competing project constraints represent the balance of scope, quality, schedule,____________, resources, and risks, among
other factors.</t>
  </si>
  <si>
    <t xml:space="preserve"> budget</t>
  </si>
  <si>
    <t>The competing project constraints represent the balance of scope, quality, schedule,budget, _____________, and risks, among
other factors.</t>
  </si>
  <si>
    <t>resources</t>
  </si>
  <si>
    <t>Defining factors of a project</t>
  </si>
  <si>
    <t>During the life cycle of any product, the concept of project management is used, whereas, at other times, product or _____________ is appropriate.</t>
  </si>
  <si>
    <t>operations management</t>
  </si>
  <si>
    <t xml:space="preserve"> constraints</t>
  </si>
  <si>
    <t>How projects are managed is determined by which of the competing project____________ is the driving factor.</t>
  </si>
  <si>
    <t>The work to create the product and the work to ____________ the project that creates the product are different.</t>
  </si>
  <si>
    <t>Differing projects can be driven by differing and sometimes conflicting____________________.</t>
  </si>
  <si>
    <t>constraints</t>
  </si>
  <si>
    <t>manage</t>
  </si>
  <si>
    <t>A development ___________- often integrates work efforts to accomplish both.</t>
  </si>
  <si>
    <t>life cycle</t>
  </si>
  <si>
    <t>A development life cycle defines the_____________ to create the product and designates other activities to plan and control work being performed to create the product.</t>
  </si>
  <si>
    <t xml:space="preserve"> activities</t>
  </si>
  <si>
    <t xml:space="preserve">The pharmaceutical product life cycle is very different from the software development life cycle. Yet the same ____________________-could be used to organize and monitor either the pharmaceutical or the software
product creation </t>
  </si>
  <si>
    <t xml:space="preserve">project management life cycle </t>
  </si>
  <si>
    <t>The modification of a waterfall projet  is called a____________, or an iterative, approach.</t>
  </si>
  <si>
    <t xml:space="preserve"> spiral</t>
  </si>
  <si>
    <t>Relative to the project management efforts, the upcoming phase is planned and managed at a very detailed level, whereas the later phases are planned at a lesser level of detail until more information is gained, which justifies a detailed planning effort. This type of project management effort is referred to as the_____________, or the phased approach to project management.</t>
  </si>
  <si>
    <t xml:space="preserve"> rolling wave</t>
  </si>
  <si>
    <t>______________ build suggests creating a minimally functional product and releasing it.</t>
  </si>
  <si>
    <t>Incremental</t>
  </si>
  <si>
    <t>With incremental or agile approaches, project risks,_______________, and some wasted time are acceptable.</t>
  </si>
  <si>
    <t xml:space="preserve"> mistakes</t>
  </si>
  <si>
    <t>Traditional project management _______________ become extinct or at least modified to accommodate this agile development approach.</t>
  </si>
  <si>
    <t>schedule charts</t>
  </si>
  <si>
    <t>Short-interval scheduling that produces quality-controlled___________ are standard in an agile environment.</t>
  </si>
  <si>
    <t>Teams become __________ and more energetic .n an Agile environment</t>
  </si>
  <si>
    <t>closer</t>
  </si>
  <si>
    <t>output</t>
  </si>
  <si>
    <t>_____________becomes less important and flexible decision making becomes a necessity in an Agile environment.</t>
  </si>
  <si>
    <t xml:space="preserve">Paperwork </t>
  </si>
  <si>
    <t>If there is a single word that characterizes project management, it is_____________</t>
  </si>
  <si>
    <t xml:space="preserve"> integration</t>
  </si>
  <si>
    <t>Decisions from the _________________become the directive from which projects are initiated.</t>
  </si>
  <si>
    <t xml:space="preserve">strategic planning process </t>
  </si>
  <si>
    <t>Project practitioners need to see the alignment between the_________________ and the project.</t>
  </si>
  <si>
    <t xml:space="preserve"> strategic plan</t>
  </si>
  <si>
    <t>Strategic planning converted into an ongoing strategic management process continues to review strategic objectives and filter down any changes, so that project managers can ___________ their efforts appropriately.</t>
  </si>
  <si>
    <t>redirect</t>
  </si>
  <si>
    <t>1) Humans, 2) Equipment, 3) Services, 4) Supplies, 5) Commodities, 6) Material, 7) Budgets,8)  Funds</t>
  </si>
  <si>
    <t xml:space="preserve">Eight categories of resources used by projects are. </t>
  </si>
  <si>
    <t>The ___________________ must ensure that the allocation of specific resources is adequate but
not overcommitted, and that the right resources are assigned to the right tasks.</t>
  </si>
  <si>
    <t>project manager</t>
  </si>
  <si>
    <t>Project management software provides assistance by identifying___________or _____________of any one resource or pool of resources.</t>
  </si>
  <si>
    <t xml:space="preserve"> overloading or underloading </t>
  </si>
  <si>
    <t>Modifications to documents, deliverables, or baselines associated with the project are identified, documented, approved, or rejected. This is the definition of ___________________ in the context of project management.</t>
  </si>
  <si>
    <t>change management</t>
  </si>
  <si>
    <t>A __________ initiative is the degree to which a set of inherent characteristics fulfills requirements;</t>
  </si>
  <si>
    <t>quality</t>
  </si>
  <si>
    <t>Management wants_____________ throughout the project that can be managed using executive scorecards or dashboards.</t>
  </si>
  <si>
    <t xml:space="preserve"> measurement metrics</t>
  </si>
  <si>
    <t>________________ need to be in place before the project proceeds so that the records can be complete from the beginning.</t>
  </si>
  <si>
    <t>Control procedures</t>
  </si>
  <si>
    <t>Project practitioners use new and creative techniques (automated and nonautomated) to facilitate greater_______________.</t>
  </si>
  <si>
    <t xml:space="preserve"> productivity</t>
  </si>
  <si>
    <t>With increased _______________, project management is being asked to account for what it has contributed lately and, more importantly, for what it plans to contribute tomorrow.</t>
  </si>
  <si>
    <t>visibility</t>
  </si>
  <si>
    <t>Project management needs to address variables such as multifunctional, multicultural, multigenerational, multigender, and _____________ project environment.</t>
  </si>
  <si>
    <t xml:space="preserve">multipersonality </t>
  </si>
  <si>
    <t>The definition of a project is a temporary endeavor undertaken to create a unique product, service, or result. This work is accomplished by instituting a____________ process.</t>
  </si>
  <si>
    <t xml:space="preserve"> project management</t>
  </si>
  <si>
    <t>___________________ ensures that the project includes all the work required, and only the work required, to complete the project successfully.1</t>
  </si>
  <si>
    <t>Scope management</t>
  </si>
  <si>
    <t>The project scope management plan is a component of the project or program management plan that describes how the scope will be defined, developed, monitored, controlled, and _________________.</t>
  </si>
  <si>
    <t>verified</t>
  </si>
  <si>
    <t>_______________ includes the features and functions that characterize the product, service, or result, and includes the work that must be done to deliver it with its specified features and functions.</t>
  </si>
  <si>
    <t>Project scope</t>
  </si>
  <si>
    <t>______________ a project is putting boundaries around the work to be done as well as the specifications of the product to be produced.</t>
  </si>
  <si>
    <t>Scoping</t>
  </si>
  <si>
    <t>When defining the _________________ of a project,  it is wise to articulate not only what is included but also what is excluded.</t>
  </si>
  <si>
    <t>___________________ is the processes required to manage the timely completion of the project.</t>
  </si>
  <si>
    <t>Time management</t>
  </si>
  <si>
    <t>time management</t>
  </si>
  <si>
    <t>The function of________________ is divided into six processes: define the activities, sequence the activities, estimate the activity resources, estimate the activity durations, develop the schedule, and control the schedule.</t>
  </si>
  <si>
    <t>Definition and sequencing</t>
  </si>
  <si>
    <t>________________ include depicting what work is intended to be done and in what order or sequence.</t>
  </si>
  <si>
    <t>___________________ is the determination of the duration required to perform each activity, considering the availability and capacity of the resources to carry out the activity.</t>
  </si>
  <si>
    <t>Estimating</t>
  </si>
  <si>
    <t>__________________ portrays the duration on a calendar, recognizing both time and resource constraints.</t>
  </si>
  <si>
    <t>Scheduling</t>
  </si>
  <si>
    <t>The final deliverable from the_________________process is the estimated time target to complete the entire project.</t>
  </si>
  <si>
    <t xml:space="preserve"> scheduling </t>
  </si>
  <si>
    <t>__________________ control includes a recognition of what has happened and taking action to ensure that the project will be completed on time and within budget.</t>
  </si>
  <si>
    <t>Schedule</t>
  </si>
  <si>
    <t>Cost management processes maintain ___________________control of projects and includes the processes involved in planning, estimating, budgeting, financing, funding, managing, and controlling costs so that the project can be completed within the approved budget.</t>
  </si>
  <si>
    <t xml:space="preserve">financial </t>
  </si>
  <si>
    <t>________________ is the process of assembling and predicting costs of a project.</t>
  </si>
  <si>
    <t>Cost estimating</t>
  </si>
  <si>
    <t>The _____________process involves rolling up cost estimates in order to establish
budgets, standards, and a monitoring system by which the cost of the project can
be measured and managed.</t>
  </si>
  <si>
    <t xml:space="preserve">cost budgeting </t>
  </si>
  <si>
    <t>Cost control entails gathering, accumulating, analyzing, monitoring,_______________, and managing the costs on an ongoing basis.</t>
  </si>
  <si>
    <t xml:space="preserve"> reporting</t>
  </si>
  <si>
    <t>Quality management includes the processes and activities of the performing organizationt hat determine quality______________, objectives, and responsibilities so that the project will satisfy the needs for which it was undertaken.</t>
  </si>
  <si>
    <t xml:space="preserve"> policies</t>
  </si>
  <si>
    <t>Quality management makes use of quality planning, quality assurance, quality control, and quality_______________ techniques and tools.</t>
  </si>
  <si>
    <t>If the ___________________for the product of the project are consistent with the real, or perceived, needs of the customers, then the customers are likely to be satisfied with the product of the project.</t>
  </si>
  <si>
    <t xml:space="preserve">requirements </t>
  </si>
  <si>
    <t>_________________ comprises all the processes that organize, manage, and lead the project team</t>
  </si>
  <si>
    <t>Human resource management</t>
  </si>
  <si>
    <t>Human resources</t>
  </si>
  <si>
    <t>_______________ is all about making the most effective use of people, from sponsors, customers, and partners, to individual contributors.</t>
  </si>
  <si>
    <t>The project manager is responsible for developing the _____________ and building it into a cohesive group to complete the project.</t>
  </si>
  <si>
    <t>project team</t>
  </si>
  <si>
    <t xml:space="preserve"> behavioral </t>
  </si>
  <si>
    <t>The_________________aspects deal with the project team members, their interaction as a team, and their contacts with individuals outside the project itself.</t>
  </si>
  <si>
    <t>Included in _______________ aspects are communicating, motivating, team building, and conflict management.</t>
  </si>
  <si>
    <t>behavioral</t>
  </si>
  <si>
    <t>________________ tasks include employee relations, compensation, government regulations, and evaluation.</t>
  </si>
  <si>
    <t>Administrative</t>
  </si>
  <si>
    <t>Much of the administrative activity of the project manager is directed by organizations and agencies _________________.</t>
  </si>
  <si>
    <t>outside the project</t>
  </si>
  <si>
    <t>____________________includes the processes required to ensure timely and appropriate planning, collection, creation, distribution, storage, retrieval, management control, and ultimate disposition of project information</t>
  </si>
  <si>
    <t xml:space="preserve">Communications management </t>
  </si>
  <si>
    <t>______________ includes communications planning and management, information distribution, and
performance reporting.</t>
  </si>
  <si>
    <t>Successful project managers are constantly building consensus or confidence at critical junctures in a project by practicing active________________ skills.</t>
  </si>
  <si>
    <t xml:space="preserve"> communications</t>
  </si>
  <si>
    <t>The project manager must communicate to upper management, to the project team, and to_________________.</t>
  </si>
  <si>
    <t xml:space="preserve"> other stakeholders</t>
  </si>
  <si>
    <t>The communications process is not always easy because the project manager may find that barriers exist to communication, such as lack of clear communication channels and problems in a______________ environment.</t>
  </si>
  <si>
    <t xml:space="preserve"> global team</t>
  </si>
  <si>
    <t>The project manager has the responsibility of knowing what kind of messages to send, knowing when and to whom to send the messages, using the correct mode/medium, and translating the messages into a language that all _______________ can understand.</t>
  </si>
  <si>
    <t>recipients</t>
  </si>
  <si>
    <t>Risk management includes the processes concerned with conducting risk management planning, identification, analysis, _____________, and monitoring and controlling on a project.</t>
  </si>
  <si>
    <t>responses</t>
  </si>
  <si>
    <t>Risk management is the formal_____________ whereby risk factors are systematically identified, assessed, and provided for.</t>
  </si>
  <si>
    <t>The term risk management tends to be misleading because it implies control of events. Risk management must be seen as __________________ for possible events in advance, rather than simply reacting to them as they happen.</t>
  </si>
  <si>
    <t>preparation</t>
  </si>
  <si>
    <t>_________________ includes the processes to purchase or acquire the products, services, or results needed from outside the project team.</t>
  </si>
  <si>
    <t>Procurement management</t>
  </si>
  <si>
    <t>Planning for purchases or acquisitions, contracting, requesting seller responses, source selection, and contract administration (including closure) are all part of _________________________.</t>
  </si>
  <si>
    <t>procurement management</t>
  </si>
  <si>
    <t>Inherent in the process of managing a project is the_________________ of a wide variety of resources.</t>
  </si>
  <si>
    <t xml:space="preserve"> procurement</t>
  </si>
  <si>
    <t>In most instances, procurement requires the negotiation of a formal, _________________.</t>
  </si>
  <si>
    <t>written contract</t>
  </si>
  <si>
    <t>In a __________________, it is essential to understand varying social, political, legal, and financial implications in the procurement process.</t>
  </si>
  <si>
    <t>global business environment</t>
  </si>
  <si>
    <t>______________ includes the processes required to identify the people, groups, or organizations that could impact or be impacted by the project.</t>
  </si>
  <si>
    <t>Stakeholder management</t>
  </si>
  <si>
    <t>The newest knowledge area in the standards, its addition reflects the growing realization that project management relies on people—not just the project manager and team, but also the executives, managers, clients or customers, vendors, partners, end-users, and communities that have a_______________ in the project’s outcome.</t>
  </si>
  <si>
    <t xml:space="preserve"> stake</t>
  </si>
  <si>
    <t>Identifying and _________________the needs and roles of stakeholders is a critical basis for planning, risk management, and requirements gathering.</t>
  </si>
  <si>
    <t xml:space="preserve">analyzing </t>
  </si>
  <si>
    <t>In summary, the superstructure that supports the project management discipline relies on professional and practical scope, time, cost, quality, human resources, communications, risk, and procurement management—all coordinated through the practice of ________________ management.</t>
  </si>
  <si>
    <t>integration</t>
  </si>
  <si>
    <t>The level of detail and the amount of rigor is defined by the_____________ as well as by the magnitude and complexity of the project itself.</t>
  </si>
  <si>
    <t>culture</t>
  </si>
  <si>
    <t>Effectively and efficiently managing____________efforts is the only way organizations can survive and grow in this modern world.</t>
  </si>
  <si>
    <t xml:space="preserve"> change </t>
  </si>
  <si>
    <t>Projects are the means for________________, if not proactively anticipating, the environment and opportunities of the future.</t>
  </si>
  <si>
    <t xml:space="preserve"> responding to</t>
  </si>
  <si>
    <t>Global Alliance for Project Performance Standards (GAPPS)</t>
  </si>
  <si>
    <t>GAPPS stands for</t>
  </si>
  <si>
    <t>Managers’ errors are their subordinates’ __________________</t>
  </si>
  <si>
    <t>trials</t>
  </si>
  <si>
    <t>PMI has produced the oldest and most widely used ___________ ______ ___________ of project management, which has been modified substantially over the years.</t>
  </si>
  <si>
    <t>body of knowledge</t>
  </si>
  <si>
    <t>The ___________ PMBOK was an entirely new document, and the first separately published body of knowledge of project management.</t>
  </si>
  <si>
    <t>The ____________ PMBOK® Guide was a completely rewritten document from the 1987 version, which added project integration management to the existing eight primary components.</t>
  </si>
  <si>
    <t>ISO 21500 was started in year _____________</t>
  </si>
  <si>
    <t>The ISO standard for project management</t>
  </si>
  <si>
    <t>ISO 21500</t>
  </si>
  <si>
    <t>The _____________ to project management developed in the 1980s, largely in Europe.</t>
  </si>
  <si>
    <t>process approach</t>
  </si>
  <si>
    <t>ISO 21500 Wikipedia</t>
  </si>
  <si>
    <t>structured process</t>
  </si>
  <si>
    <t>Project management then is a _______________ about converting a vision into reality and the major emphasis is  on developing and defining processes in order to meet project objectives.</t>
  </si>
  <si>
    <t>________________ was developed to offer guidance on the concepts and processes of project management with the goal of implementing processes and best practices to improve project management performance</t>
  </si>
  <si>
    <t>The standard as developed by the ISO was modeled on the Project Management Institute's Body of Knowledge (PMBoK), although there are some key _____________.</t>
  </si>
  <si>
    <t>differences</t>
  </si>
  <si>
    <t>The ISO project management standard is only ___________ long and is limited to the introduction of the processes, their inputs, and their outputs.</t>
  </si>
  <si>
    <t>47 pages</t>
  </si>
  <si>
    <t>The PMI standard is more than ____________in length and describes processes, inputs, outputs and associated tools and techniques.</t>
  </si>
  <si>
    <t xml:space="preserve">450 pages </t>
  </si>
  <si>
    <t>ISO and PMI segregate project processes into five process groups with some minor variances in_____________.</t>
  </si>
  <si>
    <t xml:space="preserve"> labeling</t>
  </si>
  <si>
    <t xml:space="preserve"> The substantive difference in the two standards is with the ___________and description of tools and techniques, because ISO 21500:2012 do not provide it.</t>
  </si>
  <si>
    <t xml:space="preserve">detail </t>
  </si>
  <si>
    <t>“good practice” means there is general agreement that the application of these skills, tools, and techniques can enhance the chances of success over many projects. “Good practice” does not mean that the ____________ described should always be applied uniformly on all projects; the organization and/or project management team is responsible for determining what is appropriate for any given project</t>
  </si>
  <si>
    <t>knowledge</t>
  </si>
  <si>
    <t>PMI has produced separate documents that it refers to as standards rather than __________, which specifically address the management of programs and portfolios</t>
  </si>
  <si>
    <t>When the United Kingdom’s ___________ (APM) launched its certification program in the early 1990s, it was because the APM felt that PMI’s PMBOK® did not adequately reflect the knowledge base that project management professionals need.</t>
  </si>
  <si>
    <t>Association of Project Management</t>
  </si>
  <si>
    <t>The ___________ is much broader in scope, covering projects, programs, and portfolios, in the form of an overview, providing references for further reading.</t>
  </si>
  <si>
    <t>APMBOK (Association of Project Management body of knowledge)</t>
  </si>
  <si>
    <t>In the  AMA Handbook, AMA stands for____________</t>
  </si>
  <si>
    <t>American Management Association</t>
  </si>
  <si>
    <t>The project scope management plan is a component of the project or program management __________ that describes how the scope will be defined, developed, monitored, controlled, and verified.</t>
  </si>
  <si>
    <t>plan</t>
  </si>
  <si>
    <t>features and functions</t>
  </si>
  <si>
    <t>Project scope includes the ___________ and ______________ that characterize the product, service, or result, and includes the work that must be done to deliver it with its specified fea- tures and functions.</t>
  </si>
  <si>
    <t>Scoping a project is putting bound aries around the work to be done as well as the ____________ of the product to be produced.</t>
  </si>
  <si>
    <t>specifications</t>
  </si>
  <si>
    <t>When defining the scope, it is wise to articulate not only what is included but also ________________.</t>
  </si>
  <si>
    <t>what is excluded</t>
  </si>
  <si>
    <t>_________________ is the processes required to manage the timely completion of the project.</t>
  </si>
  <si>
    <t xml:space="preserve"> processes</t>
  </si>
  <si>
    <t>Time management is the _____________ required to manage the timely completion of the project.</t>
  </si>
  <si>
    <t>The function of time management is divided into six processes: What are they? define the activities, sequence the activities, estimate the activity resources, estimate the activity durations, develop the schedule, and control the schedule.</t>
  </si>
  <si>
    <t>1) define the activities, 2)  sequence the activities, 3) estimate the activity resources, 4) estimate the activity durations, 5) develop the schedule, 6)  control the schedule.</t>
  </si>
  <si>
    <t>The definition of a project is a_____________ undertaken to create a unique product, service, or result.</t>
  </si>
  <si>
    <t xml:space="preserve"> temporary endeavor</t>
  </si>
  <si>
    <t>create a unique product</t>
  </si>
  <si>
    <t>The definition of a project is a temporary endeavor undertaken to create a _____________, service, or result.</t>
  </si>
  <si>
    <t>The definition of a project is a temporary endeavor undertaken to create a unique product, _____________ or_____________.</t>
  </si>
  <si>
    <t>service, or result</t>
  </si>
  <si>
    <t xml:space="preserve">1) professional and practical scope, 2) time, 3) cost, 4) quality, 5) human resources, 6) communications, 7) risk, and  8) procurement management—all coordinated through the practice of integration management. </t>
  </si>
  <si>
    <t>The superstructure that supports the project management discipline relies on these 8 process characteristics. All are coordinated through the practice of integration management. Each of these processes and their subordinated processes create the methodology by which projects are performed in a logical and consistent manner.</t>
  </si>
  <si>
    <t>The level of project __________and the amount of rigor is defined by the culture as well as by the magnitude and complexity of the project itself.</t>
  </si>
  <si>
    <t xml:space="preserve"> detail </t>
  </si>
  <si>
    <t>_____________ are the driving force for many organizations in most industries.</t>
  </si>
  <si>
    <t>Projects</t>
  </si>
  <si>
    <t>Projects can be looked upon as the _____________ of society, and the pace of change has been increasing.</t>
  </si>
  <si>
    <t>change efforts</t>
  </si>
  <si>
    <t>Each of the 8  processes and their subordinated processes create the ______________ by which projects are performed in a logical and consistent manner. The</t>
  </si>
  <si>
    <t>methodology</t>
  </si>
  <si>
    <t>The level of detail and the amount of rigor is defined by the culture as well as by the magnitude and _____________ of the project itself</t>
  </si>
  <si>
    <t>complexity</t>
  </si>
  <si>
    <t>Projects are _____________. They are everywhere, and everybody does them.</t>
  </si>
  <si>
    <t>ubiquitous</t>
  </si>
  <si>
    <t>Projects can be looked upon as the change efforts of society, and the pace of_____________ has been increasing</t>
  </si>
  <si>
    <t xml:space="preserve"> change</t>
  </si>
  <si>
    <t xml:space="preserve">Accomplish the right thing right the first time within justifiable ___________, ______________ and __________________. </t>
  </si>
  <si>
    <t>time, resources, and budget</t>
  </si>
  <si>
    <t>Projects are the means for __________________, if not proactively anticipating, the environment and opportunities of the future</t>
  </si>
  <si>
    <t>Projects are the means for responding to, if not proactively anticipating, the environment and opportunities of the future</t>
  </si>
  <si>
    <t>Japan´s ENAA stands for_____________</t>
  </si>
  <si>
    <t>Engineering Advancement Association</t>
  </si>
  <si>
    <t>A Guidebook of Project and Program Management for Enterprise Innovation (2001) is abbreviated as ____________</t>
  </si>
  <si>
    <t>P2M</t>
  </si>
  <si>
    <t>P2M is the abbreviation for______________</t>
  </si>
  <si>
    <t>PMCC stands for__________________</t>
  </si>
  <si>
    <t>Project Management Professionals Certification Center</t>
  </si>
  <si>
    <t>PMAJ stands for</t>
  </si>
  <si>
    <t>Project Management Association of Japan (PMAJ),</t>
  </si>
  <si>
    <t>The_____________ not only covers the management of single projects, but also has a major section specifically on program management.</t>
  </si>
  <si>
    <t>The P2M not only covers the management of single projects, but also has a major section specifically on________________.</t>
  </si>
  <si>
    <t xml:space="preserve"> program management</t>
  </si>
  <si>
    <t>__________ has been defined as “the ability to perform the activities within an occupation or function to the standard expected in employment.</t>
  </si>
  <si>
    <t>Competency</t>
  </si>
  <si>
    <t>The attribute-based approach involves definition of a series of personal attributes
(e.g., a set of skills, knowledge, and attitudes) that are believed to underlie ______________, and then testing whether those attributes are present at an appropriate level in the individual.</t>
  </si>
  <si>
    <t>competence</t>
  </si>
  <si>
    <t>The performance-based approach is to observe the performance of individuals in the actual workplace, from which underlying_______________ can be inferred.</t>
  </si>
  <si>
    <t xml:space="preserve"> competence</t>
  </si>
  <si>
    <t xml:space="preserve">AIPM stands for </t>
  </si>
  <si>
    <t>Australian Institute of Project Management</t>
  </si>
  <si>
    <t>PMI has produced a __________________ that is not considered a standard but is intended as a resource for practitioner development</t>
  </si>
  <si>
    <t>Project Manager Competency Development Framework</t>
  </si>
  <si>
    <t>A global effort for the development of a framework of Global Performance-Based
Standards for Project Management Personnel (now known as the Global Alliance for Project Performance Standards [GAPPS]) was initiated in year ___________</t>
  </si>
  <si>
    <t>The project management profession’s standard, A Guide to the Project Management Body of Knowledge (PMBOK® Guide), is described as consisting of ___________ knowledge areas.</t>
  </si>
  <si>
    <t>ten</t>
  </si>
  <si>
    <t>Six project management process groups</t>
  </si>
  <si>
    <t>1) initiating, 2) planning, 3) executing, 4) monitoring and 5) controlling, 6) closing.</t>
  </si>
  <si>
    <t>A project manager uses _________ and _______________ to evaluate every process and to tailor each one as needed for each project.</t>
  </si>
  <si>
    <t>knowledge and skills</t>
  </si>
  <si>
    <t>there has never been a
There has never been a “one size fits all” project management approach; this is especially important when integrating____________ techniques into a project management process.</t>
  </si>
  <si>
    <t xml:space="preserve"> Agile</t>
  </si>
  <si>
    <t>Every company and organization faces different___________and _________________ on each project</t>
  </si>
  <si>
    <t xml:space="preserve"> constraints and requirements</t>
  </si>
  <si>
    <t>Tailoring must be performed to ensure that the competing demands of scope, time and cost, and quality are addressed to fulfill the ____________and_______________.</t>
  </si>
  <si>
    <t>contraints and requirements</t>
  </si>
  <si>
    <t>The odds of a project being successful are much higher if a _______________approach is used when planning and executing it.</t>
  </si>
  <si>
    <t xml:space="preserve">defined </t>
  </si>
  <si>
    <t>The project manager chooses an approach for the project’s specific______________after the tailoring effort is completed.</t>
  </si>
  <si>
    <t xml:space="preserve"> constraints </t>
  </si>
  <si>
    <t>Project management _____________ are a logical way to categorize and implement the knowledge areas</t>
  </si>
  <si>
    <t>process groups</t>
  </si>
  <si>
    <t>The tailoring and rigor applied to implementing each process group are based on the complexity of, and_____________ for, the specific project.</t>
  </si>
  <si>
    <t xml:space="preserve"> risk</t>
  </si>
  <si>
    <t>The project manager uses the _______________ to address the interactions and required trade-offs among specified product requirements to achieve the project’s final product objective.</t>
  </si>
  <si>
    <t>A skilled project manager knows that a project is___________ in nature.</t>
  </si>
  <si>
    <t xml:space="preserve"> iterative</t>
  </si>
  <si>
    <t>In most projects, the project manager must___________ through the various processes as many times as needed to define the requirements and then to refine the project management plan that is used to produce a product that meets its requirements</t>
  </si>
  <si>
    <t xml:space="preserve"> iterate</t>
  </si>
  <si>
    <t>Initiating</t>
  </si>
  <si>
    <t>Planning</t>
  </si>
  <si>
    <t>Process that defines all activities and resources, and establishes schedules and other project activities</t>
  </si>
  <si>
    <t>A project charter produces</t>
  </si>
  <si>
    <t>1) authorization for the project 2) a high-level description of the product or service that will be the result 3) defines the initial project requirements, constraints, and assumptions. 4) designates the project manager and that level of authority 5) specifies any hard delivery dates 6) provides an initial view of stakeholder expectations. 7) provides an indication of the project budget.</t>
  </si>
  <si>
    <t>Typically, content detail of the project charter varies depending on the product’s____________ or the application area.</t>
  </si>
  <si>
    <t xml:space="preserve"> complexity</t>
  </si>
  <si>
    <t>A  project management plan provides needed information about the following:</t>
  </si>
  <si>
    <t>1) Which knowledge area processes are needed, how each is tailored for this particular project, and especially how rigorously each of those processes will be implemented in the project 2)How the project team will be built from the resources across the organization or will be brought in through contract, hiring of full-time employees, or outsourcing 3) Which method will be used for communicating with all of the stakeholders to facilitate the timing of their participation to facilitate addressing open issues and pending decisions 4) Which configuration management requirements will be implemented and how they will be performed on this project. 5) A list of scheduled activities, including major deliverables and their associated milestone dates 6) The budget for the project based on the projected costs 7)  How the project management plan will be executed to accomplish the project objectives, including the required project phases, any reviews, and the documented results from those phases or reviews</t>
  </si>
  <si>
    <t>____________ is the central activity the project manager continues performing throughout the project.</t>
  </si>
  <si>
    <t>The_____________ is iteratively revisited at multiple points in the project.</t>
  </si>
  <si>
    <t xml:space="preserve"> plan</t>
  </si>
  <si>
    <t>The _________ provides input to the executing processes, to the monitoring and controlling processes, and to the closing processes</t>
  </si>
  <si>
    <t>If a problem occurs, the _____________ can provide input back to the initiating activities, which can cause a project to be rescoped and to have a new delivery date authorized.</t>
  </si>
  <si>
    <t>planning activities</t>
  </si>
  <si>
    <t>The
The project manager integrates and iterates the executing processes until the work planned in the project management plan has produced the required _______________.</t>
  </si>
  <si>
    <t>deliverables</t>
  </si>
  <si>
    <t>The project manager communicates status information so that the_____________ will know the project status, which activities have been started or are finished, and which activities are late.</t>
  </si>
  <si>
    <t xml:space="preserve"> stakeholders</t>
  </si>
  <si>
    <t>Key outputs from executing the project management plan are the deliverables for the next___________ and the final deliverables to the customer.</t>
  </si>
  <si>
    <t xml:space="preserve"> phase</t>
  </si>
  <si>
    <t>The project manager uses___________and _____________ processes to observe all aspects of the project.</t>
  </si>
  <si>
    <t xml:space="preserve"> monitoring and controlling</t>
  </si>
  <si>
    <t>Monitoring and controlling  processes help the project manager proactively know whether or not there are potential problems so_________________ can be started before a crisis results.</t>
  </si>
  <si>
    <t xml:space="preserve"> corrective action</t>
  </si>
  <si>
    <t>Monitoring project _____________ is important, because a majority of the project’s resources are expended during this phase.</t>
  </si>
  <si>
    <t>execution</t>
  </si>
  <si>
    <t>1) collecting data, 2) assessing the data, 3) measuring performance, 4) assessing measurements</t>
  </si>
  <si>
    <t>Project monitoring includes these four activities ________</t>
  </si>
  <si>
    <t>Some organizations implement a ______________ board to formally address change approval issues to ensure the project baseline is maintained by only allowing approved changes into the documentation or product.</t>
  </si>
  <si>
    <t>change control board</t>
  </si>
  <si>
    <t>Project managers must integrate their monitoring and controlling activities to provide feedback to the ___________ process.</t>
  </si>
  <si>
    <t>executing</t>
  </si>
  <si>
    <t>If there is a high-impact change to the project scope or overall plan, then there will also be input to the___________ processes.</t>
  </si>
  <si>
    <t xml:space="preserve"> initiating</t>
  </si>
  <si>
    <t>The _____________ require the project manager to develop any procedures required to formally close a project or a phase.7</t>
  </si>
  <si>
    <t>closing processes</t>
  </si>
  <si>
    <t>The group of ______________ covers the transfer of the completed product to the final customer and project information to the appropriate organization within the company.</t>
  </si>
  <si>
    <t xml:space="preserve">closing processes </t>
  </si>
  <si>
    <t>The_______________ cover the closure and transfer of an aborted project and any reasons the project was terminated prior to completion.</t>
  </si>
  <si>
    <t>______________might be the beginning of a substage of the project; it could be mobilization on site. More critically, it could refer to the the whole project.</t>
  </si>
  <si>
    <t>initiation</t>
  </si>
  <si>
    <t>The PMBOK Guide takes___________ as the first of five process stages that can occur several times as the project is developed and implemented.2</t>
  </si>
  <si>
    <t xml:space="preserve"> initiation</t>
  </si>
  <si>
    <t>Is establishing the project’s “front end.”</t>
  </si>
  <si>
    <t xml:space="preserve">The ten knowledge areas in project management: </t>
  </si>
  <si>
    <t>The one feature of projects that distinguishes them from nonprojects</t>
  </si>
  <si>
    <t>The project development life cycle</t>
  </si>
  <si>
    <t>The PMBOK Guide says initiation is about obtaining____________ to spend and to commit resources.</t>
  </si>
  <si>
    <t xml:space="preserve"> authorization</t>
  </si>
  <si>
    <t xml:space="preserve"> At initiation the stakeholders are identified. A project charter is approved. “A key purpose . . . is to align stakeholders’ expectation with the___________, giving them visibility about the scope and objectives, and how their participation in the project and its associated phases can ensure that their expectations are achieved.”5 But there is more to it than that!project charter</t>
  </si>
  <si>
    <t xml:space="preserve"> project’s purpose</t>
  </si>
  <si>
    <t>For many project management personnel, initiation entails contract______________, followed, when successful, by mobilization for execution.</t>
  </si>
  <si>
    <t xml:space="preserve"> bidding</t>
  </si>
  <si>
    <t>One group that potentially has a huge influence on the conduct of the project, yet crucially is external to the project, is the ______________.</t>
  </si>
  <si>
    <t>project sponsor</t>
  </si>
  <si>
    <t>The___________is “the holder of the business case”—the person responsible for the project and accountable for the satisfactory realization of the project proposal.</t>
  </si>
  <si>
    <t xml:space="preserve">project sponsor </t>
  </si>
  <si>
    <t>The nexus between ___________,___________,___________is critical in the early initiation stages of the project.</t>
  </si>
  <si>
    <t>owner, sponsor and project director</t>
  </si>
  <si>
    <t>The _________should support the project sponsor actively</t>
  </si>
  <si>
    <t xml:space="preserve">project team </t>
  </si>
  <si>
    <t>The project team should support the___________ actively</t>
  </si>
  <si>
    <t xml:space="preserve"> project sponsor</t>
  </si>
  <si>
    <t>To shape the project effectively, the team must understand the _____________objectives and business strategy and ensure that the project strategy is aligned with them</t>
  </si>
  <si>
    <t xml:space="preserve">sponsor’s </t>
  </si>
  <si>
    <t>Many project professionals view the______________ as the project strategy document, but this is not its purpose; it addresses only the project implementation strategy, that is, the plan for the work to be performed after formal authorization and capital expenditure on the project have been sanctioned.</t>
  </si>
  <si>
    <t xml:space="preserve"> project execution plan (PEP)</t>
  </si>
  <si>
    <t>The project PEP stands for_______________</t>
  </si>
  <si>
    <t xml:space="preserve"> The_________________ establishes the why, what, how, who, how much, and when of
the project development—all that is needed to be done to meet the project objectives and goals:</t>
  </si>
  <si>
    <t xml:space="preserve"> project strategy</t>
  </si>
  <si>
    <t>There may be several levels within the enterprise at which the project’s objectives, goals, and strategies are stated, and they may be “emergent” as well as be formulated in a “deliberate” manner—emergent in that _____________does not always go as planned, and deliberate in that projects are the mechanisms through which most organizational strategy is realized.</t>
  </si>
  <si>
    <t xml:space="preserve">implementing strategy </t>
  </si>
  <si>
    <t>Events arise that change the strategic landscape.
Sponsors and their project and program teams should be________________ to these emergent changes and address their implications.</t>
  </si>
  <si>
    <t xml:space="preserve"> sensitive</t>
  </si>
  <si>
    <t>“Ploy,” “perspective,” and “pattern” all require __________ and____________ and are as important as “position” and “plan.”</t>
  </si>
  <si>
    <t>insight and judgment</t>
  </si>
  <si>
    <t>_______________ “is a direction in a project that contributes to success of the project in its environment</t>
  </si>
  <si>
    <t>Strategy shapes, and gives momentum to, the project’s ___________</t>
  </si>
  <si>
    <t>course</t>
  </si>
  <si>
    <t>The board has overall responsibility for______________of project management.</t>
  </si>
  <si>
    <t xml:space="preserve"> governance </t>
  </si>
  <si>
    <t>The roles, responsibilities, and performance criteria for the governance of project management are________________.</t>
  </si>
  <si>
    <t xml:space="preserve"> clearly defined</t>
  </si>
  <si>
    <t xml:space="preserve"> Disciplined governance arrangements, supported by appropriate methods and controls, are applied throughout the_________________.</t>
  </si>
  <si>
    <t xml:space="preserve"> project life cycle</t>
  </si>
  <si>
    <t>A coherent and supportive relationship is demonstrated between the overall business strategy and the project_____________.</t>
  </si>
  <si>
    <t xml:space="preserve"> portfolio</t>
  </si>
  <si>
    <t>All projects have an approved plan containing _____________ points at which the business case is reviewed and approved.</t>
  </si>
  <si>
    <t>authorization</t>
  </si>
  <si>
    <t>Decisions made at authorization_________ are recorded and communicated.</t>
  </si>
  <si>
    <t xml:space="preserve"> points</t>
  </si>
  <si>
    <t>Members of ____________ authorization bodies have sufficient representation, competence, authority, and resources to enable them to make appropriate decisions.</t>
  </si>
  <si>
    <t>delegated</t>
  </si>
  <si>
    <t>The project business _________ is supported by relevant and realistic information that provides a reliable basis for making authorization decisions.</t>
  </si>
  <si>
    <t>case</t>
  </si>
  <si>
    <t>The board or its ____________decide when independent scrutiny of projects and project management systems is required, and implement such scrutiny accordingly.</t>
  </si>
  <si>
    <t xml:space="preserve">delegated agents </t>
  </si>
  <si>
    <t>There are clearly defined criteria for reporting_____________ and for the escalation of risks and issues to the levels required by the organization.</t>
  </si>
  <si>
    <t xml:space="preserve"> project status</t>
  </si>
  <si>
    <t>The organization fosters a culture of improvement and of frank internal_____________ of project information</t>
  </si>
  <si>
    <t xml:space="preserve"> disclosure</t>
  </si>
  <si>
    <t>governance</t>
  </si>
  <si>
    <t>As professionals with_______________ knowledge in the world of projects, the project manager and his team should have the knowledge and the sense of duty to make this relationship work as effectively as possible.</t>
  </si>
  <si>
    <t xml:space="preserve"> specialist</t>
  </si>
  <si>
    <t>Gaining a_____________ coupled with urgency (threat) means that unproven technology often still has to be incorporated into the project, with obvious risk to the desired outcome</t>
  </si>
  <si>
    <t xml:space="preserve"> technical edge</t>
  </si>
  <si>
    <t xml:space="preserve"> The landscape with regard to managing the________ of the project is now more mature compared with that discussed in earlier editions of this handbook.</t>
  </si>
  <si>
    <t xml:space="preserve"> technical base</t>
  </si>
  <si>
    <t>Should there be a single ___________ supplier, or should work packages be allocated to separate organizational units with some form of project management function integrating them?</t>
  </si>
  <si>
    <t>integrating</t>
  </si>
  <si>
    <t>The degree of active ________________ that the owner/sponsor wishes to exert over the evolving work package affects the way this integration is organized.</t>
  </si>
  <si>
    <t>control</t>
  </si>
  <si>
    <t>The integration is essential if the work packages are to come together to produce the value and benefits expected of the project for the ______________.</t>
  </si>
  <si>
    <t>sponsor</t>
  </si>
  <si>
    <t>It is naive to expect that risk can be transferred to suppliers or_____________ regardless of their ability to properly bear that risk</t>
  </si>
  <si>
    <t xml:space="preserve"> subcontractors</t>
  </si>
  <si>
    <t>Work in the front end often involves the interplay of___________and innovation.</t>
  </si>
  <si>
    <t xml:space="preserve"> uncertainty </t>
  </si>
  <si>
    <t>In execution,_____________ is about planning, monitoring, and correcting to make sure the project is completed on time, within budget, and to scope.</t>
  </si>
  <si>
    <t xml:space="preserve"> control</t>
  </si>
  <si>
    <t>The _____________ competency deployed in a project directly influences the chances of project management success in that it establishes the data that many will use to decide if the project was completed successfully—at its most obvious, on time, within budget, and to scope.</t>
  </si>
  <si>
    <t>estimating</t>
  </si>
  <si>
    <t>It is important that the assumptions underlying the makeup of the__________ be documented, and that an audit trail be available so that any downstream changes can be understood and set within the appropriate context.</t>
  </si>
  <si>
    <t xml:space="preserve"> estimate</t>
  </si>
  <si>
    <t>Risks should be identified and assessed, and effective risk management must be built into the __________________to address them.</t>
  </si>
  <si>
    <t xml:space="preserve">project management strategy </t>
  </si>
  <si>
    <t>Risks are simply understood to be possible negative events for which there is sufficient information to ascribe a probability of occurrence. _______________, on the other hand, are the result of a lack of reliable information.</t>
  </si>
  <si>
    <t>Uncertainties</t>
  </si>
  <si>
    <t>____________ generally should decrease as the project definition improves, but risks may not, as the development within the front end could reveal many new downstream risks.</t>
  </si>
  <si>
    <t>Uncertainty</t>
  </si>
  <si>
    <t xml:space="preserve"> If_______________ is about vision and establishing goals and values, then leadership is central to the front end.</t>
  </si>
  <si>
    <t xml:space="preserve"> leadership</t>
  </si>
  <si>
    <t>Managers can be leaders; we should not assume that leadership is the preserve of just a few very______________.</t>
  </si>
  <si>
    <t xml:space="preserve"> senior people</t>
  </si>
  <si>
    <t>There is much leadership activity that is required in addition to creating and communicating a___________of the project outcome.</t>
  </si>
  <si>
    <t xml:space="preserve"> vision </t>
  </si>
  <si>
    <t>It has long been known that organizations need to fit their environment and technology, but we are now recognizing that____________ may be able to influence context, to some extent at least.</t>
  </si>
  <si>
    <t xml:space="preserve"> managers</t>
  </si>
  <si>
    <t>______________may need to influence politicians, legislators, regulators, community representatives, potential partners, financiers, suppliers, and others.</t>
  </si>
  <si>
    <t xml:space="preserve">Project management professionals </t>
  </si>
  <si>
    <t>Acquiring the knowledge and skill sets—the competencies—required to manage the project, both in initiation and for future execution, is a major task of ___________ work</t>
  </si>
  <si>
    <t>front-end</t>
  </si>
  <si>
    <t>We have defined initiation in a broader sense as the ___________ of the project development process.</t>
  </si>
  <si>
    <t>front end</t>
  </si>
  <si>
    <t>The___________ is crucial to the project’s character and eventual success (or failure).</t>
  </si>
  <si>
    <t>Working in the initiation phase of a project calls for maturity and _____________</t>
  </si>
  <si>
    <t>diplomacy</t>
  </si>
  <si>
    <t>1) scope 2) time, 3) cost, 4) quality, 5) risk, 6) communications, 7) integration,   8)contract/procurement, 9) human resources,  10) stakeholder management.</t>
  </si>
  <si>
    <t>P2M&lt;- Maybe others as well, Irrelevant</t>
  </si>
  <si>
    <t>standards&lt;-unclear</t>
  </si>
  <si>
    <t>Customers start seeing the _____________ quicker in an Agile environment</t>
  </si>
  <si>
    <t xml:space="preserve"> monitoring&lt;- ok</t>
  </si>
  <si>
    <t>A Guidebook of Project and Program Management for Enterprise Innovation</t>
  </si>
  <si>
    <t xml:space="preserve"> Process that determines project feasibility, formally authorizes the project, and provides a high hlevel project description.</t>
  </si>
  <si>
    <t>The project management or ____________ relationship is central to achieving good project initiation and to getting effective strategy formulation and good practice applied.</t>
  </si>
  <si>
    <t>time constrained, activities with interrelationships , multiple resources, quality-approved deliverables.</t>
  </si>
  <si>
    <t>1) Overall objectives/goals and how to achieve them_x000D_
2) Technical descriptions and development strategy_x000D_
3) Project organization Key roles of players within and without the project team_x000D_
4) time plan_x000D_
5) Budget_x000D_
6) Risks and opportunities _x000D_
7) change management policies and plans_x000D_
8) Quality policy and plans_x000D_
9) Safety, health, and environmental with Reporting requirements_x000D_
10) Communications policy _x000D_
11) Expected behaviors</t>
  </si>
  <si>
    <t>The project strategy should cover at least all of these. 11 Points!</t>
  </si>
  <si>
    <t>Aug 1, 2020 - Aug 7, 2020</t>
  </si>
  <si>
    <t>Jul 25, 2020 - Jul 31, 2020</t>
  </si>
  <si>
    <t>Jul 18, 2020 - Jul 24, 2020</t>
  </si>
  <si>
    <t>Jul 11, 2020 - Jul 17, 2020</t>
  </si>
  <si>
    <t>Jul 4, 2020 - Jul 10, 2020</t>
  </si>
  <si>
    <t>Jun 27, 2020 - Jul 3, 2020</t>
  </si>
  <si>
    <t>Jun 20, 2020 - Jun 26, 2020</t>
  </si>
  <si>
    <t>Jun 6, 2020 - Jun 12, 2020</t>
  </si>
  <si>
    <t>May 2, 2020 - May 8, 2020</t>
  </si>
  <si>
    <t>Apr 11, 2020 - Apr 17, 2020</t>
  </si>
  <si>
    <t>Jan 18, 2020 - Jan 24, 2020</t>
  </si>
  <si>
    <t>more notes</t>
  </si>
  <si>
    <t>Note to Self 1</t>
  </si>
  <si>
    <t>"There is nothing permanent except change" Heraclitus</t>
  </si>
  <si>
    <t>Don´t forget the club meeting!</t>
  </si>
  <si>
    <t>Get grandma´s stuff</t>
  </si>
  <si>
    <t>Got firewood in the morning.</t>
  </si>
  <si>
    <t xml:space="preserve">some notes about entry </t>
  </si>
  <si>
    <t>Rainy</t>
  </si>
  <si>
    <r>
      <t>Sunny 26</t>
    </r>
    <r>
      <rPr>
        <sz val="11"/>
        <color theme="1"/>
        <rFont val="Arial"/>
        <family val="2"/>
      </rPr>
      <t>º</t>
    </r>
    <r>
      <rPr>
        <sz val="12.1"/>
        <color theme="1"/>
        <rFont val="Calibri"/>
        <family val="2"/>
      </rPr>
      <t>C</t>
    </r>
  </si>
  <si>
    <t>Beirut Explosion</t>
  </si>
  <si>
    <t xml:space="preserve">Vacation </t>
  </si>
  <si>
    <t>Vacation, Kate Birthday</t>
  </si>
  <si>
    <t>Steve Birthday</t>
  </si>
  <si>
    <t>Get Show Tickets</t>
  </si>
  <si>
    <t>Company Christmas Party</t>
  </si>
  <si>
    <t>Vacation Day</t>
  </si>
  <si>
    <t>Home All Day</t>
  </si>
  <si>
    <t>Something Scheduled 1</t>
  </si>
  <si>
    <t>Something Scheduled 2</t>
  </si>
  <si>
    <t>Something Scheduled 3</t>
  </si>
  <si>
    <t>Something Scheduled 4</t>
  </si>
  <si>
    <t>Something Scheduled 5</t>
  </si>
  <si>
    <t>Something Scheduled 6</t>
  </si>
  <si>
    <t>a note</t>
  </si>
  <si>
    <t>Sunny</t>
  </si>
  <si>
    <t>Partly Cloudy</t>
  </si>
  <si>
    <t>Overcast</t>
  </si>
  <si>
    <t>Snow</t>
  </si>
  <si>
    <t>some entry 1</t>
  </si>
  <si>
    <t>some entry 2</t>
  </si>
  <si>
    <t>some entry 3</t>
  </si>
  <si>
    <t>some entry 4</t>
  </si>
  <si>
    <t>some entry 5</t>
  </si>
  <si>
    <t>some entry 6</t>
  </si>
  <si>
    <t>some entry 7</t>
  </si>
  <si>
    <t>some entry 8</t>
  </si>
  <si>
    <t>some entry 9</t>
  </si>
  <si>
    <t>some entry 10</t>
  </si>
  <si>
    <t>some entry 11</t>
  </si>
  <si>
    <t>some entry 12</t>
  </si>
  <si>
    <t>some entry 13</t>
  </si>
  <si>
    <t>some entry 14</t>
  </si>
  <si>
    <t>some entry 15</t>
  </si>
  <si>
    <t>some entry 16</t>
  </si>
  <si>
    <t>some entry 17</t>
  </si>
  <si>
    <t>some entry 18</t>
  </si>
  <si>
    <t>some entry 19</t>
  </si>
  <si>
    <t>some entry 20</t>
  </si>
  <si>
    <t>some entry 21</t>
  </si>
  <si>
    <t>some entry 22</t>
  </si>
  <si>
    <t>some entry 23</t>
  </si>
  <si>
    <t>some entry 51</t>
  </si>
  <si>
    <t>some entry 52</t>
  </si>
  <si>
    <t>some entry 53</t>
  </si>
  <si>
    <t>Mostly Cloudy</t>
  </si>
  <si>
    <t>Rain</t>
  </si>
  <si>
    <t xml:space="preserve">Candidate lower in the Polls. </t>
  </si>
  <si>
    <t>Class All Day. It was boring!  I took notes for Bill</t>
  </si>
  <si>
    <t>Drive to uncle Bill-four hours because of traffic.</t>
  </si>
  <si>
    <t xml:space="preserve">Saw the sunrise with Laurel. Swimming too. </t>
  </si>
  <si>
    <t>800</t>
  </si>
  <si>
    <t>Sonntag</t>
  </si>
  <si>
    <t>First</t>
  </si>
  <si>
    <t>Here is another entry</t>
  </si>
  <si>
    <t>100</t>
  </si>
  <si>
    <t>Making a video</t>
  </si>
  <si>
    <t>Windy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</si>
</sst>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0.0"/>
    <numFmt numFmtId="166" formatCode="[$-409]d\-mmm\-yy;@"/>
    <numFmt numFmtId="167" formatCode="0.0%"/>
    <numFmt numFmtId="168" formatCode="m/d/yyyy\ \(dddd\)"/>
    <numFmt numFmtId="169" formatCode="d\ mmm\ yyyy"/>
    <numFmt numFmtId="170" formatCode="d"/>
    <numFmt numFmtId="171" formatCode="ddd\ m/dd/yy"/>
    <numFmt numFmtId="172" formatCode="ddd\ mm/dd/yy"/>
  </numFmts>
  <fonts count="48" x14ac:knownFonts="1">
    <font>
      <sz val="11"/>
      <color theme="1"/>
      <name val="Calibri"/>
      <family val="2"/>
      <scheme val="minor"/>
    </font>
    <font>
      <b/>
      <sz val="11"/>
      <color theme="1"/>
      <name val="Calibri"/>
      <family val="2"/>
      <scheme val="minor"/>
    </font>
    <font>
      <sz val="11"/>
      <name val="Calibri"/>
      <family val="2"/>
      <scheme val="minor"/>
    </font>
    <font>
      <sz val="10"/>
      <color indexed="8"/>
      <name val="Arial"/>
      <family val="2"/>
    </font>
    <font>
      <sz val="11"/>
      <color rgb="FFFF0000"/>
      <name val="Calibri"/>
      <family val="2"/>
      <scheme val="minor"/>
    </font>
    <font>
      <u/>
      <sz val="11"/>
      <color theme="10"/>
      <name val="Calibri"/>
      <family val="2"/>
      <scheme val="minor"/>
    </font>
    <font>
      <sz val="11"/>
      <color rgb="FF006100"/>
      <name val="Calibri"/>
      <family val="2"/>
      <scheme val="minor"/>
    </font>
    <font>
      <sz val="12"/>
      <color theme="1"/>
      <name val="Calibri"/>
      <family val="2"/>
      <scheme val="minor"/>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theme="1"/>
      <name val="Calibri"/>
      <family val="2"/>
    </font>
    <font>
      <sz val="11"/>
      <name val="Calibri Light"/>
      <family val="1"/>
      <scheme val="major"/>
    </font>
    <font>
      <sz val="10"/>
      <name val="Calibri Light"/>
      <family val="1"/>
      <scheme val="major"/>
    </font>
    <font>
      <sz val="10"/>
      <name val="Calibri"/>
      <family val="2"/>
      <scheme val="min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14"/>
      <name val="Calibri"/>
      <family val="2"/>
      <scheme val="minor"/>
    </font>
    <font>
      <sz val="9"/>
      <color rgb="FF000000"/>
      <name val="Calibri"/>
      <family val="2"/>
      <scheme val="minor"/>
    </font>
    <font>
      <sz val="14"/>
      <color rgb="FF000000"/>
      <name val="Calibri"/>
      <family val="2"/>
      <scheme val="minor"/>
    </font>
    <font>
      <sz val="8"/>
      <name val="Calibri"/>
      <family val="2"/>
      <scheme val="minor"/>
    </font>
    <font>
      <b/>
      <sz val="10"/>
      <name val="Calibri Light"/>
      <family val="2"/>
      <scheme val="major"/>
    </font>
    <font>
      <b/>
      <sz val="10"/>
      <name val="Calibri"/>
      <family val="2"/>
      <scheme val="minor"/>
    </font>
    <font>
      <b/>
      <sz val="10"/>
      <name val="Calibri Light"/>
      <family val="1"/>
      <scheme val="major"/>
    </font>
    <font>
      <sz val="13"/>
      <name val="Arial"/>
      <family val="2"/>
    </font>
    <font>
      <b/>
      <sz val="13"/>
      <name val="Calibri Light"/>
      <family val="2"/>
      <scheme val="major"/>
    </font>
    <font>
      <sz val="13"/>
      <name val="Calibri Light"/>
      <family val="1"/>
      <scheme val="major"/>
    </font>
    <font>
      <b/>
      <sz val="13"/>
      <name val="Calibri"/>
      <family val="2"/>
      <scheme val="minor"/>
    </font>
    <font>
      <sz val="13"/>
      <name val="Calibri"/>
      <family val="2"/>
      <scheme val="minor"/>
    </font>
    <font>
      <sz val="13"/>
      <color theme="1"/>
      <name val="Calibri"/>
      <family val="2"/>
      <scheme val="minor"/>
    </font>
    <font>
      <sz val="11"/>
      <color theme="4" tint="-0.499984740745262"/>
      <name val="Calibri"/>
      <family val="2"/>
      <scheme val="minor"/>
    </font>
    <font>
      <sz val="11"/>
      <color theme="1"/>
      <name val="Arial"/>
      <family val="2"/>
    </font>
    <font>
      <sz val="12.1"/>
      <color theme="1"/>
      <name val="Calibri"/>
      <family val="2"/>
    </font>
  </fonts>
  <fills count="48">
    <fill>
      <patternFill patternType="none"/>
    </fill>
    <fill>
      <patternFill patternType="gray125"/>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indexed="9"/>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indexed="22"/>
      </bottom>
      <diagonal/>
    </border>
    <border>
      <left/>
      <right/>
      <top style="thin">
        <color indexed="22"/>
      </top>
      <bottom style="thin">
        <color indexed="22"/>
      </bottom>
      <diagonal/>
    </border>
    <border>
      <left/>
      <right/>
      <top style="thin">
        <color rgb="FFEFEFEF"/>
      </top>
      <bottom style="thin">
        <color rgb="FFEFEFEF"/>
      </bottom>
      <diagonal/>
    </border>
  </borders>
  <cellStyleXfs count="46">
    <xf numFmtId="0" fontId="0" fillId="0" borderId="0"/>
    <xf numFmtId="0" fontId="5" fillId="0" borderId="0" applyNumberFormat="0" applyFill="0" applyBorder="0" applyAlignment="0" applyProtection="0"/>
    <xf numFmtId="0" fontId="6" fillId="8" borderId="0" applyNumberFormat="0" applyBorder="0" applyAlignment="0" applyProtection="0"/>
    <xf numFmtId="0" fontId="9" fillId="0" borderId="0" applyNumberFormat="0" applyFill="0" applyBorder="0" applyAlignment="0" applyProtection="0"/>
    <xf numFmtId="0" fontId="10" fillId="0" borderId="2" applyNumberFormat="0" applyFill="0" applyAlignment="0" applyProtection="0"/>
    <xf numFmtId="0" fontId="11" fillId="0" borderId="3" applyNumberFormat="0" applyFill="0" applyAlignment="0" applyProtection="0"/>
    <xf numFmtId="0" fontId="12" fillId="0" borderId="4" applyNumberFormat="0" applyFill="0" applyAlignment="0" applyProtection="0"/>
    <xf numFmtId="0" fontId="12" fillId="0" borderId="0" applyNumberFormat="0" applyFill="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5" applyNumberFormat="0" applyAlignment="0" applyProtection="0"/>
    <xf numFmtId="0" fontId="16" fillId="12" borderId="6" applyNumberFormat="0" applyAlignment="0" applyProtection="0"/>
    <xf numFmtId="0" fontId="17" fillId="12" borderId="5" applyNumberFormat="0" applyAlignment="0" applyProtection="0"/>
    <xf numFmtId="0" fontId="18" fillId="0" borderId="7" applyNumberFormat="0" applyFill="0" applyAlignment="0" applyProtection="0"/>
    <xf numFmtId="0" fontId="19" fillId="13" borderId="8" applyNumberFormat="0" applyAlignment="0" applyProtection="0"/>
    <xf numFmtId="0" fontId="4" fillId="0" borderId="0" applyNumberFormat="0" applyFill="0" applyBorder="0" applyAlignment="0" applyProtection="0"/>
    <xf numFmtId="0" fontId="8" fillId="14" borderId="9" applyNumberFormat="0" applyFont="0" applyAlignment="0" applyProtection="0"/>
    <xf numFmtId="0" fontId="20" fillId="0" borderId="0" applyNumberFormat="0" applyFill="0" applyBorder="0" applyAlignment="0" applyProtection="0"/>
    <xf numFmtId="0" fontId="1" fillId="0" borderId="10" applyNumberFormat="0" applyFill="0" applyAlignment="0" applyProtection="0"/>
    <xf numFmtId="0" fontId="2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21" fillId="38" borderId="0" applyNumberFormat="0" applyBorder="0" applyAlignment="0" applyProtection="0"/>
    <xf numFmtId="0" fontId="3" fillId="0" borderId="0"/>
    <xf numFmtId="0" fontId="22" fillId="0" borderId="0"/>
    <xf numFmtId="9" fontId="8" fillId="0" borderId="0" applyFont="0" applyFill="0" applyBorder="0" applyAlignment="0" applyProtection="0"/>
  </cellStyleXfs>
  <cellXfs count="154">
    <xf numFmtId="0" fontId="0" fillId="0" borderId="0" xfId="0"/>
    <xf numFmtId="0" fontId="0" fillId="0" borderId="0" xfId="0" applyAlignment="1">
      <alignment horizontal="left"/>
    </xf>
    <xf numFmtId="22" fontId="0" fillId="0" borderId="0" xfId="0" applyNumberFormat="1"/>
    <xf numFmtId="0" fontId="0" fillId="0" borderId="0" xfId="0" applyAlignment="1">
      <alignment wrapText="1"/>
    </xf>
    <xf numFmtId="164" fontId="0" fillId="0" borderId="0" xfId="0" applyNumberFormat="1"/>
    <xf numFmtId="2" fontId="0" fillId="3" borderId="0" xfId="0" applyNumberFormat="1" applyFill="1" applyAlignment="1">
      <alignment wrapText="1"/>
    </xf>
    <xf numFmtId="0" fontId="2" fillId="3" borderId="0" xfId="0" applyFont="1" applyFill="1" applyAlignment="1">
      <alignment wrapText="1"/>
    </xf>
    <xf numFmtId="0" fontId="2" fillId="0" borderId="0" xfId="0" applyFont="1" applyAlignment="1">
      <alignment wrapText="1"/>
    </xf>
    <xf numFmtId="2" fontId="0" fillId="0" borderId="0" xfId="0" applyNumberFormat="1" applyAlignment="1">
      <alignment horizontal="left"/>
    </xf>
    <xf numFmtId="0" fontId="0" fillId="5" borderId="1" xfId="0" applyFill="1" applyBorder="1" applyAlignment="1">
      <alignment wrapText="1"/>
    </xf>
    <xf numFmtId="165" fontId="0" fillId="6" borderId="1" xfId="0" applyNumberFormat="1" applyFill="1" applyBorder="1" applyAlignment="1">
      <alignment wrapText="1"/>
    </xf>
    <xf numFmtId="2" fontId="0" fillId="4" borderId="0" xfId="0" applyNumberFormat="1" applyFill="1" applyAlignment="1">
      <alignment wrapText="1"/>
    </xf>
    <xf numFmtId="0" fontId="0" fillId="4" borderId="0" xfId="0" applyFill="1" applyAlignment="1">
      <alignment wrapText="1"/>
    </xf>
    <xf numFmtId="22" fontId="0" fillId="4" borderId="0" xfId="0" applyNumberFormat="1" applyFill="1" applyAlignment="1">
      <alignment wrapText="1"/>
    </xf>
    <xf numFmtId="2" fontId="2" fillId="0" borderId="0" xfId="0" applyNumberFormat="1" applyFont="1" applyAlignment="1">
      <alignment wrapText="1"/>
    </xf>
    <xf numFmtId="22" fontId="0" fillId="3" borderId="0" xfId="0" applyNumberFormat="1" applyFill="1" applyAlignment="1">
      <alignment wrapText="1"/>
    </xf>
    <xf numFmtId="22" fontId="0" fillId="2" borderId="0" xfId="0" applyNumberFormat="1" applyFill="1" applyAlignment="1">
      <alignment wrapText="1"/>
    </xf>
    <xf numFmtId="0" fontId="2" fillId="2" borderId="0" xfId="0" applyFont="1" applyFill="1" applyAlignment="1">
      <alignment wrapText="1"/>
    </xf>
    <xf numFmtId="2" fontId="0" fillId="0" borderId="0" xfId="0" applyNumberFormat="1" applyAlignment="1">
      <alignment wrapText="1"/>
    </xf>
    <xf numFmtId="0" fontId="2" fillId="0" borderId="0" xfId="0" applyFont="1" applyAlignment="1">
      <alignment horizontal="left" wrapText="1"/>
    </xf>
    <xf numFmtId="22" fontId="0" fillId="0" borderId="0" xfId="0" applyNumberFormat="1" applyAlignment="1">
      <alignment wrapText="1"/>
    </xf>
    <xf numFmtId="164" fontId="0" fillId="4" borderId="0" xfId="0" applyNumberFormat="1" applyFill="1" applyAlignment="1">
      <alignment wrapText="1"/>
    </xf>
    <xf numFmtId="22" fontId="2" fillId="0" borderId="0" xfId="0" applyNumberFormat="1" applyFont="1" applyAlignment="1">
      <alignment wrapText="1"/>
    </xf>
    <xf numFmtId="164" fontId="2" fillId="0" borderId="0" xfId="0" applyNumberFormat="1" applyFont="1" applyAlignment="1">
      <alignment wrapText="1"/>
    </xf>
    <xf numFmtId="22" fontId="0" fillId="5" borderId="1" xfId="0" applyNumberFormat="1" applyFill="1" applyBorder="1" applyAlignment="1">
      <alignment wrapText="1"/>
    </xf>
    <xf numFmtId="22" fontId="0" fillId="6" borderId="1" xfId="0" applyNumberFormat="1" applyFill="1" applyBorder="1" applyAlignment="1">
      <alignment wrapText="1"/>
    </xf>
    <xf numFmtId="0" fontId="5" fillId="0" borderId="0" xfId="1"/>
    <xf numFmtId="165" fontId="2" fillId="0" borderId="0" xfId="0" applyNumberFormat="1" applyFont="1" applyAlignment="1">
      <alignment wrapText="1"/>
    </xf>
    <xf numFmtId="1" fontId="2" fillId="0" borderId="0" xfId="0" applyNumberFormat="1" applyFont="1" applyAlignment="1">
      <alignment wrapText="1"/>
    </xf>
    <xf numFmtId="0" fontId="8" fillId="0" borderId="0" xfId="0" applyFont="1"/>
    <xf numFmtId="0" fontId="7" fillId="0" borderId="0" xfId="0" applyFont="1" applyAlignment="1">
      <alignment wrapText="1"/>
    </xf>
    <xf numFmtId="1" fontId="8" fillId="0" borderId="0" xfId="0" applyNumberFormat="1" applyFont="1"/>
    <xf numFmtId="2" fontId="0" fillId="2" borderId="0" xfId="0" applyNumberFormat="1" applyFill="1" applyAlignment="1">
      <alignment wrapText="1"/>
    </xf>
    <xf numFmtId="0" fontId="7" fillId="0" borderId="0" xfId="0" applyFont="1" applyAlignment="1">
      <alignment vertical="top"/>
    </xf>
    <xf numFmtId="49" fontId="7" fillId="0" borderId="0" xfId="0" applyNumberFormat="1" applyFont="1" applyAlignment="1">
      <alignment wrapText="1"/>
    </xf>
    <xf numFmtId="0" fontId="0" fillId="0" borderId="0" xfId="0" applyFont="1"/>
    <xf numFmtId="167" fontId="8" fillId="0" borderId="0" xfId="0" applyNumberFormat="1" applyFont="1"/>
    <xf numFmtId="0" fontId="0" fillId="0" borderId="0" xfId="0" applyFill="1" applyAlignment="1">
      <alignment wrapText="1"/>
    </xf>
    <xf numFmtId="0" fontId="0" fillId="40" borderId="11" xfId="0" applyFill="1" applyBorder="1" applyAlignment="1">
      <alignment wrapText="1"/>
    </xf>
    <xf numFmtId="22" fontId="0" fillId="40" borderId="12" xfId="0" applyNumberFormat="1" applyFill="1" applyBorder="1" applyAlignment="1">
      <alignment wrapText="1"/>
    </xf>
    <xf numFmtId="0" fontId="2" fillId="40" borderId="12" xfId="0" applyFont="1" applyFill="1" applyBorder="1" applyAlignment="1">
      <alignment wrapText="1"/>
    </xf>
    <xf numFmtId="0" fontId="0" fillId="40" borderId="12" xfId="0" applyFill="1" applyBorder="1" applyAlignment="1">
      <alignment wrapText="1"/>
    </xf>
    <xf numFmtId="0" fontId="0" fillId="39" borderId="11" xfId="0" applyFill="1" applyBorder="1" applyAlignment="1">
      <alignment wrapText="1"/>
    </xf>
    <xf numFmtId="22" fontId="0" fillId="39" borderId="12" xfId="0" applyNumberFormat="1" applyFill="1" applyBorder="1" applyAlignment="1">
      <alignment wrapText="1"/>
    </xf>
    <xf numFmtId="0" fontId="2" fillId="39" borderId="12" xfId="0" applyFont="1" applyFill="1" applyBorder="1" applyAlignment="1">
      <alignment wrapText="1"/>
    </xf>
    <xf numFmtId="0" fontId="0" fillId="39" borderId="12" xfId="0" applyFill="1" applyBorder="1" applyAlignment="1">
      <alignment wrapText="1"/>
    </xf>
    <xf numFmtId="0" fontId="2" fillId="0" borderId="0" xfId="0" applyFont="1" applyFill="1" applyAlignment="1">
      <alignment wrapText="1"/>
    </xf>
    <xf numFmtId="0" fontId="0" fillId="0" borderId="0" xfId="0"/>
    <xf numFmtId="0" fontId="0" fillId="0" borderId="0" xfId="0" applyAlignment="1">
      <alignment wrapText="1"/>
    </xf>
    <xf numFmtId="0" fontId="24" fillId="0" borderId="0" xfId="0" applyFont="1" applyAlignment="1" applyProtection="1">
      <alignment vertical="center"/>
      <protection locked="0"/>
    </xf>
    <xf numFmtId="0" fontId="0" fillId="42" borderId="0" xfId="0" applyFill="1"/>
    <xf numFmtId="0" fontId="5" fillId="0" borderId="0" xfId="1" applyAlignment="1">
      <alignment horizontal="left"/>
    </xf>
    <xf numFmtId="0" fontId="25" fillId="0" borderId="0" xfId="0" applyFont="1"/>
    <xf numFmtId="0" fontId="22" fillId="0" borderId="0" xfId="0" applyFont="1"/>
    <xf numFmtId="0" fontId="25" fillId="0" borderId="0" xfId="0" applyFont="1" applyAlignment="1">
      <alignment wrapText="1"/>
    </xf>
    <xf numFmtId="170" fontId="27" fillId="0" borderId="14" xfId="0" applyNumberFormat="1" applyFont="1" applyBorder="1" applyAlignment="1">
      <alignment horizontal="center" vertical="center" shrinkToFit="1"/>
    </xf>
    <xf numFmtId="170" fontId="27" fillId="0" borderId="15" xfId="0" applyNumberFormat="1" applyFont="1" applyBorder="1" applyAlignment="1">
      <alignment horizontal="center" vertical="center" shrinkToFit="1"/>
    </xf>
    <xf numFmtId="170" fontId="27" fillId="0" borderId="16" xfId="0" applyNumberFormat="1" applyFont="1" applyBorder="1" applyAlignment="1">
      <alignment horizontal="center" vertical="center" shrinkToFit="1"/>
    </xf>
    <xf numFmtId="0" fontId="28" fillId="0" borderId="18" xfId="0" applyFont="1" applyBorder="1" applyAlignment="1">
      <alignment horizontal="left" vertical="center"/>
    </xf>
    <xf numFmtId="0" fontId="28" fillId="0" borderId="18" xfId="0" applyFont="1" applyBorder="1" applyAlignment="1">
      <alignment horizontal="center" vertical="center" wrapText="1"/>
    </xf>
    <xf numFmtId="0" fontId="29" fillId="0" borderId="18" xfId="0" applyFont="1" applyBorder="1" applyAlignment="1">
      <alignment horizontal="center" vertical="center" wrapText="1"/>
    </xf>
    <xf numFmtId="0" fontId="28" fillId="0" borderId="18" xfId="0" applyFont="1" applyBorder="1" applyAlignment="1">
      <alignment horizontal="center" vertical="center"/>
    </xf>
    <xf numFmtId="0" fontId="30" fillId="0" borderId="19" xfId="0" applyFont="1" applyBorder="1" applyAlignment="1">
      <alignment horizontal="center" vertical="center" shrinkToFit="1"/>
    </xf>
    <xf numFmtId="0" fontId="30" fillId="0" borderId="20" xfId="0" applyFont="1" applyBorder="1" applyAlignment="1">
      <alignment horizontal="center" vertical="center" shrinkToFit="1"/>
    </xf>
    <xf numFmtId="0" fontId="30" fillId="0" borderId="21" xfId="0" applyFont="1" applyBorder="1" applyAlignment="1">
      <alignment horizontal="center" vertical="center" shrinkToFit="1"/>
    </xf>
    <xf numFmtId="0" fontId="31" fillId="43" borderId="22" xfId="0" applyFont="1" applyFill="1" applyBorder="1" applyAlignment="1">
      <alignment horizontal="left" vertical="center"/>
    </xf>
    <xf numFmtId="0" fontId="30" fillId="43" borderId="22" xfId="0" applyFont="1" applyFill="1" applyBorder="1" applyAlignment="1">
      <alignment vertical="center" wrapText="1"/>
    </xf>
    <xf numFmtId="0" fontId="30" fillId="43" borderId="22" xfId="0" applyFont="1" applyFill="1" applyBorder="1" applyAlignment="1">
      <alignment horizontal="center" vertical="center"/>
    </xf>
    <xf numFmtId="171" fontId="30" fillId="43" borderId="22" xfId="0" applyNumberFormat="1" applyFont="1" applyFill="1" applyBorder="1" applyAlignment="1">
      <alignment horizontal="right" vertical="center"/>
    </xf>
    <xf numFmtId="171" fontId="30" fillId="43" borderId="22" xfId="0" applyNumberFormat="1" applyFont="1" applyFill="1" applyBorder="1" applyAlignment="1">
      <alignment horizontal="center" vertical="center"/>
    </xf>
    <xf numFmtId="1" fontId="30" fillId="43" borderId="22" xfId="45" applyNumberFormat="1" applyFont="1" applyFill="1" applyBorder="1" applyAlignment="1">
      <alignment horizontal="center" vertical="center"/>
    </xf>
    <xf numFmtId="9" fontId="30" fillId="43" borderId="22" xfId="45" applyFont="1" applyFill="1" applyBorder="1" applyAlignment="1">
      <alignment horizontal="center" vertical="center"/>
    </xf>
    <xf numFmtId="1" fontId="30" fillId="43" borderId="22" xfId="0" applyNumberFormat="1" applyFont="1" applyFill="1" applyBorder="1" applyAlignment="1">
      <alignment horizontal="center" vertical="center"/>
    </xf>
    <xf numFmtId="1" fontId="32" fillId="43" borderId="22" xfId="0" applyNumberFormat="1" applyFont="1" applyFill="1" applyBorder="1" applyAlignment="1">
      <alignment horizontal="center" vertical="center"/>
    </xf>
    <xf numFmtId="0" fontId="30" fillId="43" borderId="22" xfId="0" applyFont="1" applyFill="1" applyBorder="1" applyAlignment="1">
      <alignment horizontal="left" vertical="center"/>
    </xf>
    <xf numFmtId="0" fontId="30" fillId="43" borderId="23" xfId="0" applyFont="1" applyFill="1" applyBorder="1" applyAlignment="1">
      <alignment vertical="center"/>
    </xf>
    <xf numFmtId="0" fontId="30" fillId="0" borderId="23" xfId="0" applyFont="1" applyBorder="1" applyAlignment="1">
      <alignment horizontal="left" vertical="center"/>
    </xf>
    <xf numFmtId="0" fontId="30" fillId="0" borderId="23" xfId="0" applyFont="1" applyBorder="1" applyAlignment="1">
      <alignment vertical="center" wrapText="1"/>
    </xf>
    <xf numFmtId="0" fontId="33" fillId="0" borderId="24" xfId="0" applyFont="1" applyBorder="1" applyAlignment="1">
      <alignment horizontal="center" vertical="center"/>
    </xf>
    <xf numFmtId="1" fontId="33" fillId="45" borderId="24" xfId="0" applyNumberFormat="1" applyFont="1" applyFill="1" applyBorder="1" applyAlignment="1">
      <alignment horizontal="center" vertical="center"/>
    </xf>
    <xf numFmtId="9" fontId="33" fillId="45" borderId="24" xfId="45" applyFont="1" applyFill="1" applyBorder="1" applyAlignment="1">
      <alignment horizontal="center" vertical="center"/>
    </xf>
    <xf numFmtId="1" fontId="33" fillId="0" borderId="24" xfId="0" applyNumberFormat="1" applyFont="1" applyBorder="1" applyAlignment="1">
      <alignment horizontal="center" vertical="center"/>
    </xf>
    <xf numFmtId="1" fontId="34" fillId="0" borderId="24" xfId="0" applyNumberFormat="1" applyFont="1" applyBorder="1" applyAlignment="1">
      <alignment horizontal="center" vertical="center"/>
    </xf>
    <xf numFmtId="0" fontId="30" fillId="0" borderId="23" xfId="0" applyFont="1" applyBorder="1" applyAlignment="1">
      <alignment vertical="center"/>
    </xf>
    <xf numFmtId="9" fontId="30" fillId="0" borderId="23" xfId="0" applyNumberFormat="1" applyFont="1" applyBorder="1" applyAlignment="1">
      <alignment horizontal="left" vertical="center"/>
    </xf>
    <xf numFmtId="0" fontId="36" fillId="0" borderId="0" xfId="0" applyFont="1"/>
    <xf numFmtId="0" fontId="37" fillId="0" borderId="17" xfId="0" applyFont="1" applyBorder="1" applyAlignment="1" applyProtection="1">
      <alignment horizontal="center" vertical="center"/>
      <protection locked="0"/>
    </xf>
    <xf numFmtId="0" fontId="1" fillId="0" borderId="0" xfId="0" applyFont="1"/>
    <xf numFmtId="0" fontId="38" fillId="0" borderId="0" xfId="0" applyFont="1"/>
    <xf numFmtId="172" fontId="33" fillId="44" borderId="24" xfId="0" applyNumberFormat="1" applyFont="1" applyFill="1" applyBorder="1" applyAlignment="1">
      <alignment horizontal="center" vertical="center"/>
    </xf>
    <xf numFmtId="172" fontId="33" fillId="0" borderId="24" xfId="0" applyNumberFormat="1" applyFont="1" applyFill="1" applyBorder="1" applyAlignment="1">
      <alignment horizontal="center" vertical="center"/>
    </xf>
    <xf numFmtId="0" fontId="22" fillId="0" borderId="0" xfId="0" applyFont="1" applyAlignment="1">
      <alignment textRotation="90"/>
    </xf>
    <xf numFmtId="0" fontId="25" fillId="0" borderId="0" xfId="0" applyFont="1" applyAlignment="1">
      <alignment textRotation="90"/>
    </xf>
    <xf numFmtId="0" fontId="0" fillId="0" borderId="0" xfId="0" applyAlignment="1">
      <alignment textRotation="90"/>
    </xf>
    <xf numFmtId="0" fontId="36" fillId="0" borderId="0" xfId="0" applyFont="1" applyAlignment="1">
      <alignment textRotation="90"/>
    </xf>
    <xf numFmtId="0" fontId="39" fillId="0" borderId="0" xfId="0" applyFont="1" applyAlignment="1">
      <alignment wrapText="1"/>
    </xf>
    <xf numFmtId="0" fontId="40" fillId="0" borderId="0" xfId="0" applyFont="1" applyAlignment="1">
      <alignment horizontal="right" vertical="center" wrapText="1"/>
    </xf>
    <xf numFmtId="0" fontId="41" fillId="0" borderId="0" xfId="0" applyFont="1" applyAlignment="1">
      <alignment wrapText="1"/>
    </xf>
    <xf numFmtId="0" fontId="40" fillId="0" borderId="18" xfId="0" applyFont="1" applyBorder="1" applyAlignment="1">
      <alignment horizontal="left" vertical="center" wrapText="1"/>
    </xf>
    <xf numFmtId="0" fontId="42" fillId="43" borderId="22" xfId="0" applyFont="1" applyFill="1" applyBorder="1" applyAlignment="1">
      <alignment vertical="center" wrapText="1"/>
    </xf>
    <xf numFmtId="0" fontId="43" fillId="0" borderId="23" xfId="0" applyFont="1" applyBorder="1" applyAlignment="1">
      <alignment vertical="center" wrapText="1"/>
    </xf>
    <xf numFmtId="0" fontId="44" fillId="0" borderId="0" xfId="0" applyFont="1" applyAlignment="1">
      <alignment wrapText="1"/>
    </xf>
    <xf numFmtId="0" fontId="2" fillId="41" borderId="12" xfId="0" applyFont="1" applyFill="1" applyBorder="1" applyAlignment="1">
      <alignment wrapText="1"/>
    </xf>
    <xf numFmtId="2" fontId="0" fillId="7" borderId="0" xfId="0" applyNumberFormat="1" applyFill="1" applyAlignment="1">
      <alignment wrapText="1"/>
    </xf>
    <xf numFmtId="0" fontId="0" fillId="41" borderId="11" xfId="0" applyFont="1" applyFill="1" applyBorder="1" applyAlignment="1">
      <alignment wrapText="1"/>
    </xf>
    <xf numFmtId="22" fontId="0" fillId="41" borderId="12" xfId="0" applyNumberFormat="1" applyFont="1" applyFill="1" applyBorder="1" applyAlignment="1">
      <alignment wrapText="1"/>
    </xf>
    <xf numFmtId="0" fontId="0" fillId="41" borderId="12" xfId="0" applyFont="1" applyFill="1" applyBorder="1" applyAlignment="1">
      <alignment wrapText="1"/>
    </xf>
    <xf numFmtId="0" fontId="0" fillId="0" borderId="0" xfId="0"/>
    <xf numFmtId="0" fontId="0" fillId="0" borderId="0" xfId="0"/>
    <xf numFmtId="166" fontId="2" fillId="4" borderId="0" xfId="0" applyNumberFormat="1" applyFont="1" applyFill="1" applyAlignment="1">
      <alignment wrapText="1"/>
    </xf>
    <xf numFmtId="0" fontId="2" fillId="4" borderId="0" xfId="0" applyFont="1" applyFill="1" applyAlignment="1">
      <alignment wrapText="1"/>
    </xf>
    <xf numFmtId="49" fontId="0" fillId="3" borderId="0" xfId="0" applyNumberFormat="1" applyFill="1" applyAlignment="1">
      <alignment wrapText="1"/>
    </xf>
    <xf numFmtId="49" fontId="23" fillId="3" borderId="0" xfId="0" applyNumberFormat="1" applyFont="1" applyFill="1" applyAlignment="1">
      <alignment wrapText="1"/>
    </xf>
    <xf numFmtId="49" fontId="0" fillId="3" borderId="0" xfId="0" applyNumberFormat="1" applyFill="1" applyAlignment="1">
      <alignment horizontal="left" wrapText="1"/>
    </xf>
    <xf numFmtId="49" fontId="0" fillId="2" borderId="0" xfId="0" applyNumberFormat="1" applyFill="1" applyAlignment="1">
      <alignment wrapText="1"/>
    </xf>
    <xf numFmtId="49" fontId="23" fillId="2" borderId="0" xfId="0" applyNumberFormat="1" applyFont="1" applyFill="1" applyAlignment="1">
      <alignment wrapText="1"/>
    </xf>
    <xf numFmtId="49" fontId="0" fillId="2" borderId="0" xfId="0" applyNumberFormat="1" applyFill="1" applyAlignment="1">
      <alignment horizontal="left" wrapText="1"/>
    </xf>
    <xf numFmtId="49" fontId="2" fillId="3" borderId="0" xfId="0" applyNumberFormat="1" applyFont="1" applyFill="1" applyAlignment="1">
      <alignment wrapText="1"/>
    </xf>
    <xf numFmtId="49" fontId="2" fillId="2" borderId="0" xfId="0" applyNumberFormat="1" applyFont="1" applyFill="1" applyAlignment="1">
      <alignment wrapText="1"/>
    </xf>
    <xf numFmtId="49" fontId="0" fillId="41" borderId="12" xfId="0" applyNumberFormat="1" applyFont="1" applyFill="1" applyBorder="1" applyAlignment="1">
      <alignment wrapText="1"/>
    </xf>
    <xf numFmtId="49" fontId="45" fillId="41" borderId="13" xfId="0" applyNumberFormat="1" applyFont="1" applyFill="1" applyBorder="1" applyAlignment="1">
      <alignment wrapText="1"/>
    </xf>
    <xf numFmtId="49" fontId="0" fillId="39" borderId="12" xfId="0" applyNumberFormat="1" applyFill="1" applyBorder="1" applyAlignment="1">
      <alignment wrapText="1"/>
    </xf>
    <xf numFmtId="49" fontId="0" fillId="39" borderId="13" xfId="0" applyNumberFormat="1" applyFill="1" applyBorder="1" applyAlignment="1">
      <alignment wrapText="1"/>
    </xf>
    <xf numFmtId="49" fontId="0" fillId="40" borderId="12" xfId="0" applyNumberFormat="1" applyFill="1" applyBorder="1" applyAlignment="1">
      <alignment wrapText="1"/>
    </xf>
    <xf numFmtId="49" fontId="0" fillId="40" borderId="13" xfId="0" applyNumberFormat="1" applyFill="1" applyBorder="1" applyAlignment="1">
      <alignment wrapText="1"/>
    </xf>
    <xf numFmtId="49" fontId="1" fillId="40" borderId="13" xfId="0" applyNumberFormat="1" applyFont="1" applyFill="1" applyBorder="1" applyAlignment="1">
      <alignment wrapText="1"/>
    </xf>
    <xf numFmtId="49" fontId="0" fillId="39" borderId="13" xfId="0" applyNumberFormat="1" applyFont="1" applyFill="1" applyBorder="1" applyAlignment="1">
      <alignment wrapText="1"/>
    </xf>
    <xf numFmtId="49" fontId="1" fillId="39" borderId="13" xfId="0" applyNumberFormat="1" applyFont="1" applyFill="1" applyBorder="1" applyAlignment="1">
      <alignment wrapText="1"/>
    </xf>
    <xf numFmtId="49" fontId="0" fillId="0" borderId="0" xfId="0" applyNumberFormat="1" applyAlignment="1">
      <alignment wrapText="1"/>
    </xf>
    <xf numFmtId="49" fontId="0" fillId="0" borderId="0" xfId="0" applyNumberFormat="1" applyAlignment="1">
      <alignment horizontal="left" wrapText="1"/>
    </xf>
    <xf numFmtId="49" fontId="23" fillId="0" borderId="0" xfId="0" applyNumberFormat="1" applyFont="1" applyAlignment="1">
      <alignment wrapText="1"/>
    </xf>
    <xf numFmtId="0" fontId="0" fillId="46" borderId="0" xfId="0" applyFill="1" applyBorder="1"/>
    <xf numFmtId="0" fontId="0" fillId="46" borderId="0" xfId="0" applyFill="1"/>
    <xf numFmtId="14" fontId="0" fillId="46" borderId="0" xfId="0" applyNumberFormat="1" applyFill="1"/>
    <xf numFmtId="22" fontId="0" fillId="46" borderId="0" xfId="0" applyNumberFormat="1" applyFill="1" applyBorder="1"/>
    <xf numFmtId="14" fontId="0" fillId="46" borderId="0" xfId="0" applyNumberFormat="1" applyFill="1" applyBorder="1"/>
    <xf numFmtId="1" fontId="0" fillId="46" borderId="0" xfId="0" applyNumberFormat="1" applyFill="1" applyBorder="1"/>
    <xf numFmtId="0" fontId="0" fillId="46" borderId="1" xfId="0" applyFill="1" applyBorder="1"/>
    <xf numFmtId="0" fontId="5" fillId="46" borderId="1" xfId="1" applyFill="1" applyBorder="1" applyAlignment="1">
      <alignment vertical="center"/>
    </xf>
    <xf numFmtId="2" fontId="0" fillId="46" borderId="1" xfId="0" applyNumberFormat="1" applyFill="1" applyBorder="1"/>
    <xf numFmtId="22" fontId="0" fillId="46" borderId="1" xfId="0" applyNumberFormat="1" applyFill="1" applyBorder="1"/>
    <xf numFmtId="2" fontId="23" fillId="3" borderId="0" xfId="0" applyNumberFormat="1" applyFont="1" applyFill="1" applyAlignment="1">
      <alignment wrapText="1"/>
    </xf>
    <xf numFmtId="0" fontId="36" fillId="0" borderId="0" xfId="0" applyFont="1" applyAlignment="1">
      <alignment vertical="center"/>
    </xf>
    <xf numFmtId="0" fontId="1" fillId="0" borderId="0" xfId="0" applyFont="1" applyAlignment="1">
      <alignment vertical="center"/>
    </xf>
    <xf numFmtId="0" fontId="36" fillId="0" borderId="0" xfId="0" applyFont="1" applyAlignment="1"/>
    <xf numFmtId="0" fontId="1" fillId="0" borderId="0" xfId="0" applyFont="1" applyAlignment="1"/>
    <xf numFmtId="168" fontId="37" fillId="0" borderId="17" xfId="0" applyNumberFormat="1" applyFont="1" applyBorder="1" applyAlignment="1" applyProtection="1">
      <alignment horizontal="center" vertical="center" shrinkToFit="1"/>
      <protection locked="0"/>
    </xf>
    <xf numFmtId="169" fontId="26" fillId="0" borderId="14" xfId="0" applyNumberFormat="1" applyFont="1" applyBorder="1" applyAlignment="1">
      <alignment horizontal="center" vertical="center" textRotation="90" shrinkToFit="1"/>
    </xf>
    <xf numFmtId="169" fontId="26" fillId="0" borderId="15" xfId="0" applyNumberFormat="1" applyFont="1" applyBorder="1" applyAlignment="1">
      <alignment horizontal="center" vertical="center" textRotation="90" shrinkToFit="1"/>
    </xf>
    <xf numFmtId="169" fontId="26" fillId="0" borderId="16" xfId="0" applyNumberFormat="1" applyFont="1" applyBorder="1" applyAlignment="1">
      <alignment horizontal="center" vertical="center" textRotation="90" shrinkToFit="1"/>
    </xf>
    <xf numFmtId="0" fontId="31" fillId="0" borderId="14"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6" xfId="0" applyFont="1" applyBorder="1" applyAlignment="1">
      <alignment horizontal="center" vertical="center" shrinkToFit="1"/>
    </xf>
    <xf numFmtId="0" fontId="2" fillId="47" borderId="0" xfId="0" applyFont="1" applyFill="1" applyAlignment="1">
      <alignment wrapText="1"/>
    </xf>
  </cellXfs>
  <cellStyles count="46">
    <cellStyle name="20 % - Akzent1" xfId="20" builtinId="30" customBuiltin="1"/>
    <cellStyle name="20 % - Akzent2" xfId="24" builtinId="34" customBuiltin="1"/>
    <cellStyle name="20 % - Akzent3" xfId="28" builtinId="38" customBuiltin="1"/>
    <cellStyle name="20 % - Akzent4" xfId="32" builtinId="42" customBuiltin="1"/>
    <cellStyle name="20 % - Akzent5" xfId="36" builtinId="46" customBuiltin="1"/>
    <cellStyle name="20 % - Akzent6" xfId="40" builtinId="50" customBuiltin="1"/>
    <cellStyle name="40 % - Akzent1" xfId="21" builtinId="31" customBuiltin="1"/>
    <cellStyle name="40 % - Akzent2" xfId="25" builtinId="35" customBuiltin="1"/>
    <cellStyle name="40 % - Akzent3" xfId="29" builtinId="39" customBuiltin="1"/>
    <cellStyle name="40 % - Akzent4" xfId="33" builtinId="43" customBuiltin="1"/>
    <cellStyle name="40 % - Akzent5" xfId="37" builtinId="47" customBuiltin="1"/>
    <cellStyle name="40 % - Akzent6" xfId="41" builtinId="51" customBuiltin="1"/>
    <cellStyle name="60 % - Akzent1" xfId="22" builtinId="32" customBuiltin="1"/>
    <cellStyle name="60 % - Akzent2" xfId="26" builtinId="36" customBuiltin="1"/>
    <cellStyle name="60 % - Akzent3" xfId="30" builtinId="40" customBuiltin="1"/>
    <cellStyle name="60 % - Akzent4" xfId="34" builtinId="44" customBuiltin="1"/>
    <cellStyle name="60 % - Akzent5" xfId="38" builtinId="48" customBuiltin="1"/>
    <cellStyle name="60 % - Akzent6" xfId="42" builtinId="52" customBuiltin="1"/>
    <cellStyle name="Akzent1" xfId="19" builtinId="29" customBuiltin="1"/>
    <cellStyle name="Akzent2" xfId="23" builtinId="33" customBuiltin="1"/>
    <cellStyle name="Akzent3" xfId="27" builtinId="37" customBuiltin="1"/>
    <cellStyle name="Akzent4" xfId="31" builtinId="41" customBuiltin="1"/>
    <cellStyle name="Akzent5" xfId="35" builtinId="45" customBuiltin="1"/>
    <cellStyle name="Akzent6" xfId="39" builtinId="49" customBuiltin="1"/>
    <cellStyle name="Ausgabe" xfId="11" builtinId="21" customBuiltin="1"/>
    <cellStyle name="Berechnung" xfId="12" builtinId="22" customBuiltin="1"/>
    <cellStyle name="Eingabe" xfId="10" builtinId="20" customBuiltin="1"/>
    <cellStyle name="Ergebnis" xfId="18" builtinId="25" customBuiltin="1"/>
    <cellStyle name="Erklärender Text" xfId="17" builtinId="53" customBuiltin="1"/>
    <cellStyle name="Gut" xfId="2" builtinId="26" customBuiltin="1"/>
    <cellStyle name="Link" xfId="1" builtinId="8"/>
    <cellStyle name="Neutral" xfId="9" builtinId="28" customBuiltin="1"/>
    <cellStyle name="Normal_Sheet1" xfId="43" xr:uid="{00000000-0005-0000-0000-000026000000}"/>
    <cellStyle name="Notiz" xfId="16" builtinId="10" customBuiltin="1"/>
    <cellStyle name="Prozent" xfId="45" builtinId="5"/>
    <cellStyle name="Schlecht" xfId="8" builtinId="27" customBuiltin="1"/>
    <cellStyle name="Standard" xfId="0" builtinId="0"/>
    <cellStyle name="Standard 2" xfId="44" xr:uid="{00000000-0005-0000-0000-00002C000000}"/>
    <cellStyle name="Überschrift" xfId="3" builtinId="15" customBuiltin="1"/>
    <cellStyle name="Überschrift 1" xfId="4" builtinId="16" customBuiltin="1"/>
    <cellStyle name="Überschrift 2" xfId="5" builtinId="17" customBuiltin="1"/>
    <cellStyle name="Überschrift 3" xfId="6" builtinId="18" customBuiltin="1"/>
    <cellStyle name="Überschrift 4" xfId="7" builtinId="19" customBuiltin="1"/>
    <cellStyle name="Verknüpfte Zelle" xfId="13" builtinId="24" customBuiltin="1"/>
    <cellStyle name="Warnender Text" xfId="15" builtinId="11" customBuiltin="1"/>
    <cellStyle name="Zelle überprüfen" xfId="14" builtinId="23" customBuiltin="1"/>
  </cellStyles>
  <dxfs count="117">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4" tint="-0.499984740745262"/>
        </patternFill>
      </fill>
    </dxf>
    <dxf>
      <font>
        <color theme="0"/>
      </font>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1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21167</xdr:colOff>
          <xdr:row>0</xdr:row>
          <xdr:rowOff>0</xdr:rowOff>
        </xdr:from>
        <xdr:to>
          <xdr:col>163</xdr:col>
          <xdr:colOff>12700</xdr:colOff>
          <xdr:row>1</xdr:row>
          <xdr:rowOff>12700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ocuments.medel.com/drl/objectId/090006bb8027ca06/format/msw12/versionLabel/CURREN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Z72"/>
  <sheetViews>
    <sheetView tabSelected="1" topLeftCell="B25" zoomScale="180" zoomScaleNormal="180" workbookViewId="0">
      <selection activeCell="E40" sqref="E40"/>
    </sheetView>
  </sheetViews>
  <sheetFormatPr baseColWidth="10" defaultColWidth="8.8203125" defaultRowHeight="14.35" x14ac:dyDescent="0.5"/>
  <cols>
    <col min="1" max="1" width="22" style="37" hidden="1" customWidth="1"/>
    <col min="2" max="2" width="3.703125" style="48" customWidth="1"/>
    <col min="3" max="3" width="17.1171875" style="20" customWidth="1"/>
    <col min="4" max="4" width="9.9375" style="48" customWidth="1"/>
    <col min="5" max="5" width="8.64453125" style="18" customWidth="1"/>
    <col min="6" max="6" width="24.52734375" style="128" hidden="1" customWidth="1"/>
    <col min="7" max="7" width="15.29296875" style="128" hidden="1" customWidth="1"/>
    <col min="8" max="8" width="12.29296875" style="128" hidden="1" customWidth="1"/>
    <col min="9" max="9" width="11.87890625" style="128" hidden="1" customWidth="1"/>
    <col min="10" max="10" width="14" style="129" hidden="1" customWidth="1"/>
    <col min="11" max="11" width="12.46875" style="128" hidden="1" customWidth="1"/>
    <col min="12" max="12" width="18" style="128" hidden="1" customWidth="1"/>
    <col min="13" max="13" width="32.3515625" style="128" hidden="1" customWidth="1"/>
    <col min="14" max="14" width="38.76171875" style="130" customWidth="1"/>
    <col min="15" max="15" width="21.05859375" style="48" customWidth="1"/>
    <col min="16" max="16" width="18.87890625" style="48" customWidth="1"/>
    <col min="17" max="17" width="9.17578125" style="108" customWidth="1"/>
    <col min="18" max="18" width="5.5859375" style="2" customWidth="1"/>
    <col min="19" max="19" width="27.29296875" style="4" customWidth="1"/>
    <col min="20" max="22" width="17.52734375" customWidth="1"/>
    <col min="23" max="23" width="23.17578125" style="8" customWidth="1"/>
    <col min="24" max="25" width="30.703125" style="1" customWidth="1"/>
    <col min="26" max="40" width="30.703125" style="1" hidden="1" customWidth="1"/>
    <col min="41" max="41" width="20.52734375" style="1" customWidth="1"/>
    <col min="42" max="43" width="30.703125" style="1" hidden="1" customWidth="1"/>
    <col min="44" max="44" width="18.8203125" style="1" customWidth="1"/>
    <col min="45" max="45" width="30.703125" style="1" hidden="1" customWidth="1"/>
    <col min="46" max="46" width="18.29296875" style="1" customWidth="1"/>
    <col min="47" max="58" width="30.703125" style="1" hidden="1" customWidth="1"/>
    <col min="59" max="59" width="19.29296875" style="1" customWidth="1"/>
    <col min="60" max="72" width="30.703125" style="1" hidden="1" customWidth="1"/>
    <col min="73" max="73" width="26.52734375" style="1" customWidth="1"/>
    <col min="74" max="78" width="30.703125" style="1" hidden="1" customWidth="1"/>
  </cols>
  <sheetData>
    <row r="1" spans="1:78" s="12" customFormat="1" x14ac:dyDescent="0.5">
      <c r="A1" s="37"/>
      <c r="B1" s="6">
        <f t="shared" ref="B1:B7" si="0">IF(ISEVEN(DAY(C1)),2,1)</f>
        <v>2</v>
      </c>
      <c r="C1" s="15">
        <v>42165.483668981484</v>
      </c>
      <c r="D1" s="6" t="s">
        <v>592</v>
      </c>
      <c r="E1" s="5" t="s">
        <v>592</v>
      </c>
      <c r="F1" s="111" t="s">
        <v>536</v>
      </c>
      <c r="G1" s="111" t="s">
        <v>530</v>
      </c>
      <c r="H1" s="111" t="s">
        <v>530</v>
      </c>
      <c r="I1" s="111" t="s">
        <v>530</v>
      </c>
      <c r="J1" s="111" t="s">
        <v>530</v>
      </c>
      <c r="K1" s="111" t="s">
        <v>530</v>
      </c>
      <c r="L1" s="111" t="s">
        <v>530</v>
      </c>
      <c r="M1" s="111" t="s">
        <v>530</v>
      </c>
      <c r="N1" s="141">
        <f ca="1">RANDBETWEEN(0,COUNTA(B:B))</f>
        <v>2</v>
      </c>
      <c r="R1" s="13"/>
      <c r="S1" s="2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t="e">
        <f>IF($J1=#REF!,$E1,"")</f>
        <v>#REF!</v>
      </c>
      <c r="BW1" s="11" t="e">
        <f>IF($J1=#REF!,$E1,"")</f>
        <v>#REF!</v>
      </c>
      <c r="BX1" s="11" t="e">
        <f>IF($J1=#REF!,$E1,"")</f>
        <v>#REF!</v>
      </c>
      <c r="BY1" s="11" t="e">
        <f>IF($J1=#REF!,$E1,"")</f>
        <v>#REF!</v>
      </c>
      <c r="BZ1" s="11" t="e">
        <f>IF($J1=#REF!,$E1,"")</f>
        <v>#REF!</v>
      </c>
    </row>
    <row r="2" spans="1:78" s="7" customFormat="1" x14ac:dyDescent="0.5">
      <c r="A2" s="46"/>
      <c r="B2" s="6">
        <f t="shared" si="0"/>
        <v>2</v>
      </c>
      <c r="C2" s="15">
        <v>43605.358668981484</v>
      </c>
      <c r="D2" s="6" t="str">
        <f t="shared" ref="D2:D33" si="1">IF(ISBLANK(C2),"",IF(WEEKDAY(C2)=7,"Samstag",IF(WEEKDAY(C2)=6,"Freitag",IF(WEEKDAY(C2)=5,"Donnerstag",IF(WEEKDAY(C2)=4,"Mittwoch",IF(WEEKDAY(C2)=3,"Dienstag",IF(WEEKDAY(C2)=2,"Montag",IF(WEEKDAY(C2)=1,"Sonntag"))))))))</f>
        <v>Montag</v>
      </c>
      <c r="E2" s="103">
        <f t="shared" ref="E2:E36" si="2">IF(ISBLANK(C2),"",(C2-C1)*24)</f>
        <v>34557</v>
      </c>
      <c r="F2" s="111" t="s">
        <v>536</v>
      </c>
      <c r="G2" s="111" t="s">
        <v>530</v>
      </c>
      <c r="H2" s="111" t="s">
        <v>530</v>
      </c>
      <c r="I2" s="111" t="s">
        <v>530</v>
      </c>
      <c r="J2" s="113" t="s">
        <v>530</v>
      </c>
      <c r="K2" s="111" t="s">
        <v>530</v>
      </c>
      <c r="L2" s="111" t="s">
        <v>530</v>
      </c>
      <c r="M2" s="111" t="s">
        <v>530</v>
      </c>
      <c r="N2" s="112" t="s">
        <v>558</v>
      </c>
      <c r="O2" s="109">
        <f ca="1">O16</f>
        <v>43972.733668981484</v>
      </c>
      <c r="P2" s="19" t="str">
        <f ca="1">P9&amp;" "&amp;P10&amp;" "&amp;P11&amp;" "&amp;P12&amp;" "&amp;P13&amp;" "&amp;P14&amp;" "&amp;P15&amp;" "&amp;P16&amp;" "&amp;P17&amp;" "&amp;P18&amp;" "&amp;P19&amp;" "&amp;P20&amp;" "&amp;P21&amp;" "&amp;P22&amp;" "&amp;P23</f>
        <v xml:space="preserve">       some entry 2       </v>
      </c>
      <c r="R2" s="22"/>
      <c r="S2" s="23"/>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row>
    <row r="3" spans="1:78" s="7" customFormat="1" x14ac:dyDescent="0.5">
      <c r="A3" s="46"/>
      <c r="B3" s="17">
        <f t="shared" si="0"/>
        <v>1</v>
      </c>
      <c r="C3" s="16">
        <v>43972.733668981484</v>
      </c>
      <c r="D3" s="17" t="str">
        <f t="shared" si="1"/>
        <v>Donnerstag</v>
      </c>
      <c r="E3" s="32">
        <f t="shared" si="2"/>
        <v>8817</v>
      </c>
      <c r="F3" s="114" t="s">
        <v>536</v>
      </c>
      <c r="G3" s="114" t="s">
        <v>530</v>
      </c>
      <c r="H3" s="114" t="s">
        <v>530</v>
      </c>
      <c r="I3" s="114" t="s">
        <v>530</v>
      </c>
      <c r="J3" s="114" t="s">
        <v>530</v>
      </c>
      <c r="K3" s="114" t="s">
        <v>530</v>
      </c>
      <c r="L3" s="114" t="s">
        <v>530</v>
      </c>
      <c r="M3" s="114" t="s">
        <v>530</v>
      </c>
      <c r="N3" s="115" t="s">
        <v>559</v>
      </c>
      <c r="O3" s="109"/>
      <c r="P3" s="19"/>
      <c r="R3" s="22"/>
      <c r="S3" s="23"/>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row>
    <row r="4" spans="1:78" s="7" customFormat="1" x14ac:dyDescent="0.5">
      <c r="A4" s="46"/>
      <c r="B4" s="17">
        <f t="shared" ref="B4" si="3">IF(ISEVEN(DAY(C4)),2,1)</f>
        <v>1</v>
      </c>
      <c r="C4" s="16">
        <v>43974.108668981484</v>
      </c>
      <c r="D4" s="17" t="str">
        <f t="shared" si="1"/>
        <v>Samstag</v>
      </c>
      <c r="E4" s="32">
        <f t="shared" si="2"/>
        <v>33</v>
      </c>
      <c r="F4" s="114" t="s">
        <v>536</v>
      </c>
      <c r="G4" s="114" t="s">
        <v>530</v>
      </c>
      <c r="H4" s="114" t="s">
        <v>530</v>
      </c>
      <c r="I4" s="114" t="s">
        <v>530</v>
      </c>
      <c r="J4" s="116" t="s">
        <v>530</v>
      </c>
      <c r="K4" s="114" t="s">
        <v>530</v>
      </c>
      <c r="L4" s="114" t="s">
        <v>530</v>
      </c>
      <c r="M4" s="114" t="s">
        <v>530</v>
      </c>
      <c r="N4" s="115" t="s">
        <v>560</v>
      </c>
      <c r="O4" s="109"/>
      <c r="P4" s="19"/>
      <c r="R4" s="22"/>
      <c r="S4" s="2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row>
    <row r="5" spans="1:78" s="7" customFormat="1" x14ac:dyDescent="0.5">
      <c r="A5" s="46"/>
      <c r="B5" s="6">
        <f t="shared" si="0"/>
        <v>2</v>
      </c>
      <c r="C5" s="15">
        <v>43975.483668981484</v>
      </c>
      <c r="D5" s="6" t="str">
        <f t="shared" si="1"/>
        <v>Sonntag</v>
      </c>
      <c r="E5" s="5">
        <f t="shared" si="2"/>
        <v>33</v>
      </c>
      <c r="F5" s="111" t="s">
        <v>536</v>
      </c>
      <c r="G5" s="111" t="s">
        <v>530</v>
      </c>
      <c r="H5" s="111" t="s">
        <v>530</v>
      </c>
      <c r="I5" s="111" t="s">
        <v>530</v>
      </c>
      <c r="J5" s="111" t="s">
        <v>530</v>
      </c>
      <c r="K5" s="111" t="s">
        <v>530</v>
      </c>
      <c r="L5" s="111" t="s">
        <v>530</v>
      </c>
      <c r="M5" s="111" t="s">
        <v>530</v>
      </c>
      <c r="N5" s="112" t="s">
        <v>561</v>
      </c>
      <c r="O5" s="7" t="str">
        <f ca="1">IF(ISBLANK(O2),"",IF(WEEKDAY(O2)=7,"Samstag",IF(WEEKDAY(O2)=6,"Freitag",IF(WEEKDAY(O2)=5,"Donnerstag",IF(WEEKDAY(O2)=4,"Mittwoch",IF(WEEKDAY(O2)=3,"Dienstag",IF(WEEKDAY(O2)=2,"Montag",IF(WEEKDAY(O2)=1,"Sonntag"))))))))</f>
        <v>Donnerstag</v>
      </c>
      <c r="P5" s="19"/>
      <c r="R5" s="22"/>
      <c r="S5" s="27">
        <f ca="1">RANDBETWEEN(1,3)</f>
        <v>1</v>
      </c>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row>
    <row r="6" spans="1:78" s="7" customFormat="1" x14ac:dyDescent="0.5">
      <c r="A6" s="46"/>
      <c r="B6" s="17">
        <f t="shared" si="0"/>
        <v>1</v>
      </c>
      <c r="C6" s="16">
        <v>43976.858668981484</v>
      </c>
      <c r="D6" s="17" t="str">
        <f t="shared" si="1"/>
        <v>Montag</v>
      </c>
      <c r="E6" s="32">
        <f t="shared" si="2"/>
        <v>33</v>
      </c>
      <c r="F6" s="114" t="s">
        <v>536</v>
      </c>
      <c r="G6" s="114" t="s">
        <v>530</v>
      </c>
      <c r="H6" s="114" t="s">
        <v>530</v>
      </c>
      <c r="I6" s="114" t="s">
        <v>530</v>
      </c>
      <c r="J6" s="116" t="s">
        <v>530</v>
      </c>
      <c r="K6" s="114" t="s">
        <v>530</v>
      </c>
      <c r="L6" s="114" t="s">
        <v>530</v>
      </c>
      <c r="M6" s="114" t="s">
        <v>530</v>
      </c>
      <c r="N6" s="115" t="s">
        <v>562</v>
      </c>
      <c r="P6" s="19"/>
      <c r="R6" s="22"/>
      <c r="S6" s="28">
        <f ca="1">HOUR(NOW())</f>
        <v>12</v>
      </c>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row>
    <row r="7" spans="1:78" s="7" customFormat="1" x14ac:dyDescent="0.5">
      <c r="A7" s="46"/>
      <c r="B7" s="17">
        <f t="shared" si="0"/>
        <v>1</v>
      </c>
      <c r="C7" s="16">
        <v>43978.233668981484</v>
      </c>
      <c r="D7" s="17" t="str">
        <f t="shared" si="1"/>
        <v>Mittwoch</v>
      </c>
      <c r="E7" s="32">
        <f t="shared" si="2"/>
        <v>33</v>
      </c>
      <c r="F7" s="114" t="s">
        <v>536</v>
      </c>
      <c r="G7" s="114" t="s">
        <v>530</v>
      </c>
      <c r="H7" s="114" t="s">
        <v>530</v>
      </c>
      <c r="I7" s="114" t="s">
        <v>530</v>
      </c>
      <c r="J7" s="114" t="s">
        <v>530</v>
      </c>
      <c r="K7" s="114" t="s">
        <v>530</v>
      </c>
      <c r="L7" s="114" t="s">
        <v>530</v>
      </c>
      <c r="M7" s="114" t="s">
        <v>530</v>
      </c>
      <c r="N7" s="115" t="s">
        <v>563</v>
      </c>
      <c r="P7" s="19"/>
      <c r="R7" s="22"/>
      <c r="S7" s="2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row>
    <row r="8" spans="1:78" s="7" customFormat="1" x14ac:dyDescent="0.5">
      <c r="A8" s="46"/>
      <c r="B8" s="6">
        <f t="shared" ref="B8" si="4">IF(ISEVEN(DAY(C8)),2,1)</f>
        <v>2</v>
      </c>
      <c r="C8" s="15">
        <v>43979.608668981484</v>
      </c>
      <c r="D8" s="6" t="str">
        <f t="shared" si="1"/>
        <v>Donnerstag</v>
      </c>
      <c r="E8" s="5">
        <f t="shared" si="2"/>
        <v>33</v>
      </c>
      <c r="F8" s="111" t="s">
        <v>536</v>
      </c>
      <c r="G8" s="111" t="s">
        <v>530</v>
      </c>
      <c r="H8" s="111" t="s">
        <v>530</v>
      </c>
      <c r="I8" s="111" t="s">
        <v>530</v>
      </c>
      <c r="J8" s="113" t="s">
        <v>530</v>
      </c>
      <c r="K8" s="111" t="s">
        <v>530</v>
      </c>
      <c r="L8" s="111" t="s">
        <v>530</v>
      </c>
      <c r="M8" s="111" t="s">
        <v>530</v>
      </c>
      <c r="N8" s="112" t="s">
        <v>564</v>
      </c>
      <c r="O8" s="110"/>
      <c r="P8" s="19"/>
      <c r="R8" s="22"/>
      <c r="S8" s="23">
        <v>5170</v>
      </c>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row>
    <row r="9" spans="1:78" s="7" customFormat="1" x14ac:dyDescent="0.5">
      <c r="A9" s="46"/>
      <c r="B9" s="17">
        <f t="shared" ref="B9" si="5">IF(ISEVEN(DAY(C9)),2,1)</f>
        <v>1</v>
      </c>
      <c r="C9" s="16">
        <v>43980.983668981484</v>
      </c>
      <c r="D9" s="17" t="str">
        <f t="shared" si="1"/>
        <v>Freitag</v>
      </c>
      <c r="E9" s="32">
        <f t="shared" si="2"/>
        <v>33</v>
      </c>
      <c r="F9" s="114" t="s">
        <v>536</v>
      </c>
      <c r="G9" s="114" t="s">
        <v>530</v>
      </c>
      <c r="H9" s="114" t="s">
        <v>530</v>
      </c>
      <c r="I9" s="114" t="s">
        <v>530</v>
      </c>
      <c r="J9" s="114" t="s">
        <v>530</v>
      </c>
      <c r="K9" s="114" t="s">
        <v>530</v>
      </c>
      <c r="L9" s="114" t="s">
        <v>530</v>
      </c>
      <c r="M9" s="114" t="s">
        <v>530</v>
      </c>
      <c r="N9" s="115" t="s">
        <v>565</v>
      </c>
      <c r="O9" s="24" t="e">
        <f ca="1">IF(DAY(OFFSET($N$1,$N$1-8,-11))=DAY($O$16),OFFSET($N$1,$N$1-8,-11),"")</f>
        <v>#REF!</v>
      </c>
      <c r="P9" s="9" t="str">
        <f ca="1">IF(ISTEXT(IF(DAY(O9)=DAY($O$16),OFFSET($N$1,$N$1-7,0),"")),IF(DAY(O9)=DAY($O$16),OFFSET($N$1,$N$1-7,0),""),"")</f>
        <v/>
      </c>
      <c r="R9" s="22"/>
      <c r="S9" s="2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row>
    <row r="10" spans="1:78" s="7" customFormat="1" x14ac:dyDescent="0.5">
      <c r="A10" s="46"/>
      <c r="B10" s="17">
        <f t="shared" ref="B10:B39" si="6">IF(ISEVEN(DAY(C10)),2,1)</f>
        <v>1</v>
      </c>
      <c r="C10" s="16">
        <v>43982.358668981484</v>
      </c>
      <c r="D10" s="17" t="str">
        <f t="shared" si="1"/>
        <v>Sonntag</v>
      </c>
      <c r="E10" s="32">
        <f t="shared" si="2"/>
        <v>33</v>
      </c>
      <c r="F10" s="114" t="s">
        <v>536</v>
      </c>
      <c r="G10" s="114" t="s">
        <v>530</v>
      </c>
      <c r="H10" s="114" t="s">
        <v>530</v>
      </c>
      <c r="I10" s="114" t="s">
        <v>530</v>
      </c>
      <c r="J10" s="116" t="s">
        <v>530</v>
      </c>
      <c r="K10" s="114" t="s">
        <v>530</v>
      </c>
      <c r="L10" s="114" t="s">
        <v>530</v>
      </c>
      <c r="M10" s="114" t="s">
        <v>530</v>
      </c>
      <c r="N10" s="115" t="s">
        <v>566</v>
      </c>
      <c r="O10" s="24" t="e">
        <f ca="1">IF(DAY(OFFSET($N$1,$N$1-7,-11))=DAY($O$16),OFFSET($N$1,$N$1-7,-11),"")</f>
        <v>#REF!</v>
      </c>
      <c r="P10" s="9" t="str">
        <f ca="1">IF(ISTEXT(IF(DAY(O10)=DAY($O$16),OFFSET($N$1,$N$1-6,0),"")),IF(DAY(O10)=DAY($O$16),OFFSET($N$1,$N$1-6,0),""),"")</f>
        <v/>
      </c>
      <c r="R10" s="22"/>
      <c r="S10" s="2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row>
    <row r="11" spans="1:78" s="7" customFormat="1" x14ac:dyDescent="0.5">
      <c r="A11" s="46"/>
      <c r="B11" s="17">
        <f t="shared" si="6"/>
        <v>1</v>
      </c>
      <c r="C11" s="16">
        <v>43983.733668981484</v>
      </c>
      <c r="D11" s="17" t="str">
        <f t="shared" si="1"/>
        <v>Montag</v>
      </c>
      <c r="E11" s="32">
        <f t="shared" si="2"/>
        <v>33</v>
      </c>
      <c r="F11" s="114" t="s">
        <v>536</v>
      </c>
      <c r="G11" s="114" t="s">
        <v>530</v>
      </c>
      <c r="H11" s="114" t="s">
        <v>530</v>
      </c>
      <c r="I11" s="114" t="s">
        <v>530</v>
      </c>
      <c r="J11" s="114" t="s">
        <v>530</v>
      </c>
      <c r="K11" s="114" t="s">
        <v>530</v>
      </c>
      <c r="L11" s="114" t="s">
        <v>530</v>
      </c>
      <c r="M11" s="114" t="s">
        <v>530</v>
      </c>
      <c r="N11" s="115" t="s">
        <v>567</v>
      </c>
      <c r="O11" s="24" t="e">
        <f ca="1">IF(DAY(OFFSET($N$1,$N$1-6,-11))=DAY($O$16),OFFSET($N$1,$N$1-6,-11),"")</f>
        <v>#REF!</v>
      </c>
      <c r="P11" s="9" t="str">
        <f ca="1">IF(ISTEXT(IF(DAY(O11)=DAY($O$16),OFFSET($N$1,$N$1-5,0),"")),IF(DAY(O11)=DAY($O$16),OFFSET($N$1,$N$1-5,0),""),"")</f>
        <v/>
      </c>
      <c r="R11" s="22"/>
      <c r="S11" s="2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row>
    <row r="12" spans="1:78" s="7" customFormat="1" x14ac:dyDescent="0.5">
      <c r="A12" s="46"/>
      <c r="B12" s="17">
        <f t="shared" si="6"/>
        <v>1</v>
      </c>
      <c r="C12" s="16">
        <v>43985.108668981484</v>
      </c>
      <c r="D12" s="17" t="str">
        <f t="shared" si="1"/>
        <v>Mittwoch</v>
      </c>
      <c r="E12" s="32">
        <f t="shared" si="2"/>
        <v>33</v>
      </c>
      <c r="F12" s="114" t="s">
        <v>536</v>
      </c>
      <c r="G12" s="114" t="s">
        <v>530</v>
      </c>
      <c r="H12" s="114" t="s">
        <v>530</v>
      </c>
      <c r="I12" s="114" t="s">
        <v>530</v>
      </c>
      <c r="J12" s="116" t="s">
        <v>530</v>
      </c>
      <c r="K12" s="114" t="s">
        <v>530</v>
      </c>
      <c r="L12" s="114" t="s">
        <v>530</v>
      </c>
      <c r="M12" s="114" t="s">
        <v>530</v>
      </c>
      <c r="N12" s="115" t="s">
        <v>568</v>
      </c>
      <c r="O12" s="24" t="e">
        <f ca="1">IF(DAY(OFFSET($N1,$N$1-4,-11))=DAY($O$16),OFFSET($N$1,$N$1-4,-11),"")</f>
        <v>#REF!</v>
      </c>
      <c r="P12" s="9" t="str">
        <f ca="1">IF(ISTEXT(IF(DAY(O12)=DAY($O$16),OFFSET($N$1,$N$1-4,0),"")),IF(DAY(O12)=DAY($O$16),OFFSET($N$1,$N$1-4,0),""),"")</f>
        <v/>
      </c>
      <c r="R12" s="22"/>
      <c r="S12" s="2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row>
    <row r="13" spans="1:78" s="7" customFormat="1" x14ac:dyDescent="0.5">
      <c r="A13" s="46"/>
      <c r="B13" s="6">
        <f t="shared" si="6"/>
        <v>2</v>
      </c>
      <c r="C13" s="15">
        <v>43986.483668981484</v>
      </c>
      <c r="D13" s="6" t="str">
        <f t="shared" si="1"/>
        <v>Donnerstag</v>
      </c>
      <c r="E13" s="5">
        <f t="shared" si="2"/>
        <v>33</v>
      </c>
      <c r="F13" s="111" t="s">
        <v>536</v>
      </c>
      <c r="G13" s="111" t="s">
        <v>530</v>
      </c>
      <c r="H13" s="111" t="s">
        <v>530</v>
      </c>
      <c r="I13" s="111" t="s">
        <v>530</v>
      </c>
      <c r="J13" s="111" t="s">
        <v>530</v>
      </c>
      <c r="K13" s="111" t="s">
        <v>530</v>
      </c>
      <c r="L13" s="111" t="s">
        <v>530</v>
      </c>
      <c r="M13" s="111" t="s">
        <v>530</v>
      </c>
      <c r="N13" s="112" t="s">
        <v>569</v>
      </c>
      <c r="O13" s="24" t="e">
        <f ca="1">IF(DAY(OFFSET($N$1,$N$1-3,-11))=DAY($O$16),OFFSET($N$1,$N$1-3,-11),"")</f>
        <v>#REF!</v>
      </c>
      <c r="P13" s="9" t="str">
        <f ca="1">IF(ISTEXT(IF(DAY(O13)=DAY($O$16),OFFSET($N$1,$N$1-3,0),"")),IF(DAY(O13)=DAY($O$16),OFFSET($N$1,$N$1-3,0),""),"")</f>
        <v/>
      </c>
      <c r="R13" s="22"/>
      <c r="S13" s="2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row>
    <row r="14" spans="1:78" s="7" customFormat="1" x14ac:dyDescent="0.5">
      <c r="A14" s="46"/>
      <c r="B14" s="17">
        <f t="shared" si="6"/>
        <v>1</v>
      </c>
      <c r="C14" s="16">
        <v>43987.858668981484</v>
      </c>
      <c r="D14" s="17" t="str">
        <f t="shared" si="1"/>
        <v>Freitag</v>
      </c>
      <c r="E14" s="32">
        <f t="shared" si="2"/>
        <v>33</v>
      </c>
      <c r="F14" s="114" t="s">
        <v>536</v>
      </c>
      <c r="G14" s="114" t="s">
        <v>530</v>
      </c>
      <c r="H14" s="114" t="s">
        <v>530</v>
      </c>
      <c r="I14" s="114" t="s">
        <v>530</v>
      </c>
      <c r="J14" s="116" t="s">
        <v>530</v>
      </c>
      <c r="K14" s="114" t="s">
        <v>530</v>
      </c>
      <c r="L14" s="114" t="s">
        <v>530</v>
      </c>
      <c r="M14" s="114" t="s">
        <v>530</v>
      </c>
      <c r="N14" s="115" t="s">
        <v>570</v>
      </c>
      <c r="O14" s="24" t="str">
        <f ca="1">IF(DAY(OFFSET($N$1,$N$1-2,-11))=DAY($O$16),OFFSET($N$1,$N$1-2,-11),"")</f>
        <v/>
      </c>
      <c r="P14" s="9" t="str">
        <f ca="1">IF(ISTEXT(IF(DAY(O14)=DAY($O$16),OFFSET($N$1,$N$1-2,0),"")),IF(DAY(O14)=DAY($O$16),OFFSET($N$1,$N$1-2,0),""),"")</f>
        <v/>
      </c>
      <c r="R14" s="22"/>
      <c r="S14" s="2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row>
    <row r="15" spans="1:78" s="7" customFormat="1" x14ac:dyDescent="0.5">
      <c r="A15" s="46"/>
      <c r="B15" s="17">
        <f t="shared" si="6"/>
        <v>1</v>
      </c>
      <c r="C15" s="16">
        <v>43989.233668981484</v>
      </c>
      <c r="D15" s="17" t="str">
        <f t="shared" si="1"/>
        <v>Sonntag</v>
      </c>
      <c r="E15" s="32">
        <f t="shared" si="2"/>
        <v>33</v>
      </c>
      <c r="F15" s="114" t="s">
        <v>536</v>
      </c>
      <c r="G15" s="114" t="s">
        <v>530</v>
      </c>
      <c r="H15" s="114" t="s">
        <v>530</v>
      </c>
      <c r="I15" s="114" t="s">
        <v>530</v>
      </c>
      <c r="J15" s="114" t="s">
        <v>530</v>
      </c>
      <c r="K15" s="114" t="s">
        <v>530</v>
      </c>
      <c r="L15" s="114" t="s">
        <v>530</v>
      </c>
      <c r="M15" s="114" t="s">
        <v>530</v>
      </c>
      <c r="N15" s="115" t="s">
        <v>571</v>
      </c>
      <c r="O15" s="24" t="str">
        <f ca="1">IF(DAY(OFFSET($N$1,$N$1-1,-11))=DAY($O$16),OFFSET($N$1,$N$1-1,-11),"")</f>
        <v/>
      </c>
      <c r="P15" s="9" t="str">
        <f ca="1">IF(ISTEXT(IF(DAY(O15)=DAY($O$16),OFFSET($N$1,$N$1-1,0),"")),IF(DAY(O15)=DAY($O$16),OFFSET($N$1,$N$1-1,0),""),"")</f>
        <v/>
      </c>
      <c r="R15" s="22"/>
      <c r="S15" s="2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row>
    <row r="16" spans="1:78" s="7" customFormat="1" x14ac:dyDescent="0.5">
      <c r="A16" s="46"/>
      <c r="B16" s="6">
        <f t="shared" si="6"/>
        <v>2</v>
      </c>
      <c r="C16" s="15">
        <v>43990.608668981484</v>
      </c>
      <c r="D16" s="6" t="str">
        <f t="shared" si="1"/>
        <v>Montag</v>
      </c>
      <c r="E16" s="103">
        <f t="shared" si="2"/>
        <v>33</v>
      </c>
      <c r="F16" s="111" t="s">
        <v>536</v>
      </c>
      <c r="G16" s="111" t="s">
        <v>530</v>
      </c>
      <c r="H16" s="111" t="s">
        <v>530</v>
      </c>
      <c r="I16" s="111" t="s">
        <v>530</v>
      </c>
      <c r="J16" s="113" t="s">
        <v>530</v>
      </c>
      <c r="K16" s="111" t="s">
        <v>530</v>
      </c>
      <c r="L16" s="111" t="s">
        <v>530</v>
      </c>
      <c r="M16" s="111" t="s">
        <v>530</v>
      </c>
      <c r="N16" s="112" t="s">
        <v>572</v>
      </c>
      <c r="O16" s="25">
        <f ca="1">OFFSET($N$1,$N$1,-11)</f>
        <v>43972.733668981484</v>
      </c>
      <c r="P16" s="10" t="str">
        <f ca="1">IF(ISTEXT(OFFSET($N$1,N1,0)),OFFSET($N$1,N1,0),"")</f>
        <v>some entry 2</v>
      </c>
      <c r="R16" s="22"/>
      <c r="S16" s="2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row>
    <row r="17" spans="1:78" s="7" customFormat="1" x14ac:dyDescent="0.5">
      <c r="A17" s="46"/>
      <c r="B17" s="17">
        <f t="shared" si="6"/>
        <v>1</v>
      </c>
      <c r="C17" s="16">
        <v>43991.983668981484</v>
      </c>
      <c r="D17" s="17" t="str">
        <f t="shared" si="1"/>
        <v>Dienstag</v>
      </c>
      <c r="E17" s="32">
        <f t="shared" si="2"/>
        <v>33</v>
      </c>
      <c r="F17" s="114" t="s">
        <v>536</v>
      </c>
      <c r="G17" s="114" t="s">
        <v>530</v>
      </c>
      <c r="H17" s="114" t="s">
        <v>530</v>
      </c>
      <c r="I17" s="114" t="s">
        <v>530</v>
      </c>
      <c r="J17" s="114" t="s">
        <v>530</v>
      </c>
      <c r="K17" s="114" t="s">
        <v>530</v>
      </c>
      <c r="L17" s="114" t="s">
        <v>530</v>
      </c>
      <c r="M17" s="114" t="s">
        <v>530</v>
      </c>
      <c r="N17" s="115" t="s">
        <v>573</v>
      </c>
      <c r="O17" s="24" t="str">
        <f ca="1">IF(DAY(OFFSET($N$1,$N$1+1,-11))=DAY($O$16),OFFSET($N$1,$N$1+1,-11),"")</f>
        <v/>
      </c>
      <c r="P17" s="9" t="str">
        <f ca="1">IF(ISTEXT(IF(DAY(O17)=DAY($O$16),OFFSET($N$1,$N$1+1,0),"")),IF(DAY(O17)=DAY($O$16),OFFSET($N$1,$N$1+1,0),""),"")</f>
        <v/>
      </c>
      <c r="R17" s="22"/>
      <c r="S17" s="2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row>
    <row r="18" spans="1:78" s="7" customFormat="1" x14ac:dyDescent="0.5">
      <c r="A18" s="46"/>
      <c r="B18" s="17">
        <f t="shared" si="6"/>
        <v>1</v>
      </c>
      <c r="C18" s="16">
        <v>43993.358668981484</v>
      </c>
      <c r="D18" s="17" t="str">
        <f t="shared" si="1"/>
        <v>Donnerstag</v>
      </c>
      <c r="E18" s="32">
        <f t="shared" si="2"/>
        <v>33</v>
      </c>
      <c r="F18" s="114" t="s">
        <v>536</v>
      </c>
      <c r="G18" s="114" t="s">
        <v>530</v>
      </c>
      <c r="H18" s="114" t="s">
        <v>530</v>
      </c>
      <c r="I18" s="114" t="s">
        <v>530</v>
      </c>
      <c r="J18" s="116" t="s">
        <v>530</v>
      </c>
      <c r="K18" s="114" t="s">
        <v>530</v>
      </c>
      <c r="L18" s="114" t="s">
        <v>530</v>
      </c>
      <c r="M18" s="114" t="s">
        <v>530</v>
      </c>
      <c r="N18" s="115" t="s">
        <v>574</v>
      </c>
      <c r="O18" s="24" t="str">
        <f ca="1">IF(DAY(OFFSET($N$1,$N$1+2,-11))=DAY($O$16),OFFSET($N$1,$N$1+2,-11),"")</f>
        <v/>
      </c>
      <c r="P18" s="9" t="str">
        <f ca="1">IF(ISTEXT(IF(DAY(O18)=DAY($O$16),OFFSET($N$1,$N$1+2,0),"")),IF(DAY(O18)=DAY($O$16),OFFSET($N$1,$N$1+2,0),""),"")</f>
        <v/>
      </c>
      <c r="R18" s="22"/>
      <c r="S18" s="2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row>
    <row r="19" spans="1:78" s="7" customFormat="1" x14ac:dyDescent="0.5">
      <c r="A19" s="46"/>
      <c r="B19" s="6">
        <f t="shared" si="6"/>
        <v>2</v>
      </c>
      <c r="C19" s="15">
        <v>43994.733668981484</v>
      </c>
      <c r="D19" s="6" t="str">
        <f t="shared" si="1"/>
        <v>Freitag</v>
      </c>
      <c r="E19" s="103">
        <f t="shared" si="2"/>
        <v>33</v>
      </c>
      <c r="F19" s="111" t="s">
        <v>536</v>
      </c>
      <c r="G19" s="111" t="s">
        <v>530</v>
      </c>
      <c r="H19" s="111" t="s">
        <v>530</v>
      </c>
      <c r="I19" s="111" t="s">
        <v>530</v>
      </c>
      <c r="J19" s="111" t="s">
        <v>530</v>
      </c>
      <c r="K19" s="111" t="s">
        <v>530</v>
      </c>
      <c r="L19" s="111" t="s">
        <v>530</v>
      </c>
      <c r="M19" s="111" t="s">
        <v>530</v>
      </c>
      <c r="N19" s="112" t="s">
        <v>575</v>
      </c>
      <c r="O19" s="24" t="str">
        <f ca="1">IF(DAY(OFFSET($N$1,$N$1+3,-11))=DAY($O$16),OFFSET($N$1,$N$1+3,-11),"")</f>
        <v/>
      </c>
      <c r="P19" s="9" t="str">
        <f ca="1">IF(ISTEXT(IF(DAY(O19)=DAY($O$16),OFFSET($N$1,$N$1+3,0),"")),IF(DAY(O19)=DAY($O$16),OFFSET($N$1,$N$1+3,0),""),"")</f>
        <v/>
      </c>
      <c r="R19" s="22"/>
      <c r="S19" s="2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row>
    <row r="20" spans="1:78" s="7" customFormat="1" x14ac:dyDescent="0.5">
      <c r="A20" s="46"/>
      <c r="B20" s="6">
        <f t="shared" si="6"/>
        <v>2</v>
      </c>
      <c r="C20" s="15">
        <v>43996.108668981484</v>
      </c>
      <c r="D20" s="6" t="str">
        <f t="shared" si="1"/>
        <v>Sonntag</v>
      </c>
      <c r="E20" s="103">
        <f t="shared" si="2"/>
        <v>33</v>
      </c>
      <c r="F20" s="111" t="s">
        <v>536</v>
      </c>
      <c r="G20" s="111" t="s">
        <v>530</v>
      </c>
      <c r="H20" s="111" t="s">
        <v>530</v>
      </c>
      <c r="I20" s="111" t="s">
        <v>530</v>
      </c>
      <c r="J20" s="113" t="s">
        <v>530</v>
      </c>
      <c r="K20" s="111" t="s">
        <v>530</v>
      </c>
      <c r="L20" s="111" t="s">
        <v>530</v>
      </c>
      <c r="M20" s="111" t="s">
        <v>530</v>
      </c>
      <c r="N20" s="112" t="s">
        <v>576</v>
      </c>
      <c r="O20" s="24" t="str">
        <f ca="1">IF(DAY(OFFSET($N$1,$N$1+4,-11))=DAY($O$16),OFFSET($N$1,$N$1+4,-11),"")</f>
        <v/>
      </c>
      <c r="P20" s="9" t="str">
        <f ca="1">IF(ISTEXT(IF(DAY(O20)=DAY($O$16),OFFSET($N$1,$N$1+4,0),"")),IF(DAY(O20)=DAY($O$16),OFFSET($N$6531,$N$1+4,0),""),"")</f>
        <v/>
      </c>
      <c r="R20" s="22"/>
      <c r="S20" s="2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row>
    <row r="21" spans="1:78" s="7" customFormat="1" x14ac:dyDescent="0.5">
      <c r="A21" s="46"/>
      <c r="B21" s="17">
        <f t="shared" si="6"/>
        <v>1</v>
      </c>
      <c r="C21" s="16">
        <v>43997.483668981484</v>
      </c>
      <c r="D21" s="17" t="str">
        <f t="shared" si="1"/>
        <v>Montag</v>
      </c>
      <c r="E21" s="32">
        <f t="shared" si="2"/>
        <v>33</v>
      </c>
      <c r="F21" s="114" t="s">
        <v>536</v>
      </c>
      <c r="G21" s="114" t="s">
        <v>530</v>
      </c>
      <c r="H21" s="114" t="s">
        <v>530</v>
      </c>
      <c r="I21" s="114" t="s">
        <v>530</v>
      </c>
      <c r="J21" s="114" t="s">
        <v>530</v>
      </c>
      <c r="K21" s="114" t="s">
        <v>530</v>
      </c>
      <c r="L21" s="114" t="s">
        <v>530</v>
      </c>
      <c r="M21" s="114" t="s">
        <v>530</v>
      </c>
      <c r="N21" s="115" t="s">
        <v>577</v>
      </c>
      <c r="O21" s="24" t="str">
        <f ca="1">IF(DAY(OFFSET($N$1,$N$1+5,-11))=DAY($O$16),OFFSET($N$1,$N$1+5,-11),"")</f>
        <v/>
      </c>
      <c r="P21" s="9" t="str">
        <f ca="1">IF(ISTEXT(IF(DAY(O21)=DAY($O$16),OFFSET($N$6531,$N$1+5,0),"")),IF(DAY(O21)=DAY($O$16),OFFSET($N$1,$N$1+5,0),""),"")</f>
        <v/>
      </c>
      <c r="R21" s="22"/>
      <c r="S21" s="2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row>
    <row r="22" spans="1:78" s="7" customFormat="1" x14ac:dyDescent="0.5">
      <c r="A22" s="46"/>
      <c r="B22" s="6">
        <f t="shared" si="6"/>
        <v>2</v>
      </c>
      <c r="C22" s="15">
        <v>43998.858668981484</v>
      </c>
      <c r="D22" s="6" t="str">
        <f t="shared" si="1"/>
        <v>Dienstag</v>
      </c>
      <c r="E22" s="103">
        <f t="shared" si="2"/>
        <v>33</v>
      </c>
      <c r="F22" s="111" t="s">
        <v>536</v>
      </c>
      <c r="G22" s="111" t="s">
        <v>530</v>
      </c>
      <c r="H22" s="111" t="s">
        <v>530</v>
      </c>
      <c r="I22" s="111" t="s">
        <v>530</v>
      </c>
      <c r="J22" s="113" t="s">
        <v>530</v>
      </c>
      <c r="K22" s="111" t="s">
        <v>530</v>
      </c>
      <c r="L22" s="111" t="s">
        <v>530</v>
      </c>
      <c r="M22" s="111" t="s">
        <v>530</v>
      </c>
      <c r="N22" s="112" t="s">
        <v>578</v>
      </c>
      <c r="O22" s="24" t="str">
        <f ca="1">IF(DAY(OFFSET($N$1,$N$1+6,-11))=DAY($O$16),OFFSET($N$6531,$N$1+6,-11),"")</f>
        <v/>
      </c>
      <c r="P22" s="9" t="str">
        <f ca="1">IF(ISTEXT(IF(DAY(O22)=DAY($O$16),OFFSET($N$1,$N$1+6,0),"")),IF(DAY(O22)=DAY($O$16),OFFSET($N$1,$N$1+6,0),""),"")</f>
        <v/>
      </c>
      <c r="R22" s="22"/>
      <c r="S22" s="2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row>
    <row r="23" spans="1:78" s="7" customFormat="1" x14ac:dyDescent="0.5">
      <c r="A23" s="46"/>
      <c r="B23" s="6">
        <f t="shared" si="6"/>
        <v>2</v>
      </c>
      <c r="C23" s="15">
        <v>44000.233668981484</v>
      </c>
      <c r="D23" s="6" t="str">
        <f t="shared" si="1"/>
        <v>Donnerstag</v>
      </c>
      <c r="E23" s="103">
        <f t="shared" si="2"/>
        <v>33</v>
      </c>
      <c r="F23" s="111" t="s">
        <v>536</v>
      </c>
      <c r="G23" s="111" t="s">
        <v>530</v>
      </c>
      <c r="H23" s="111" t="s">
        <v>530</v>
      </c>
      <c r="I23" s="111" t="s">
        <v>530</v>
      </c>
      <c r="J23" s="111" t="s">
        <v>530</v>
      </c>
      <c r="K23" s="111" t="s">
        <v>530</v>
      </c>
      <c r="L23" s="111" t="s">
        <v>530</v>
      </c>
      <c r="M23" s="111" t="s">
        <v>530</v>
      </c>
      <c r="N23" s="112" t="s">
        <v>579</v>
      </c>
      <c r="O23" s="24" t="str">
        <f ca="1">IF(DAY(OFFSET($N$1,$N$1+7,-11))=DAY($O$16),OFFSET($N$1,$N$1+7,-11),"")</f>
        <v/>
      </c>
      <c r="P23" s="9" t="str">
        <f ca="1">IF(ISTEXT(IF(DAY(O23)=DAY($O$16),OFFSET($N$1,$N$1+7,0),"")),IF(DAY(O23)=DAY($O$16),OFFSET($N$1,$N$1+7,0),""),"")</f>
        <v/>
      </c>
      <c r="R23" s="22"/>
      <c r="S23" s="2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row>
    <row r="24" spans="1:78" s="7" customFormat="1" x14ac:dyDescent="0.5">
      <c r="A24" s="46"/>
      <c r="B24" s="17">
        <f t="shared" si="6"/>
        <v>1</v>
      </c>
      <c r="C24" s="16">
        <v>44001.608668981484</v>
      </c>
      <c r="D24" s="17" t="str">
        <f t="shared" si="1"/>
        <v>Freitag</v>
      </c>
      <c r="E24" s="32">
        <f t="shared" si="2"/>
        <v>33</v>
      </c>
      <c r="F24" s="114" t="s">
        <v>536</v>
      </c>
      <c r="G24" s="114" t="s">
        <v>530</v>
      </c>
      <c r="H24" s="114" t="s">
        <v>530</v>
      </c>
      <c r="I24" s="114" t="s">
        <v>530</v>
      </c>
      <c r="J24" s="116" t="s">
        <v>530</v>
      </c>
      <c r="K24" s="114" t="s">
        <v>530</v>
      </c>
      <c r="L24" s="114" t="s">
        <v>530</v>
      </c>
      <c r="M24" s="114" t="s">
        <v>530</v>
      </c>
      <c r="N24" s="115" t="s">
        <v>580</v>
      </c>
      <c r="P24" s="19"/>
      <c r="R24" s="22"/>
      <c r="S24" s="2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row>
    <row r="25" spans="1:78" s="7" customFormat="1" x14ac:dyDescent="0.5">
      <c r="A25" s="46"/>
      <c r="B25" s="17">
        <f t="shared" si="6"/>
        <v>1</v>
      </c>
      <c r="C25" s="16">
        <v>44041.608668981484</v>
      </c>
      <c r="D25" s="17" t="str">
        <f t="shared" si="1"/>
        <v>Mittwoch</v>
      </c>
      <c r="E25" s="32">
        <f t="shared" si="2"/>
        <v>960</v>
      </c>
      <c r="F25" s="114" t="s">
        <v>536</v>
      </c>
      <c r="G25" s="118" t="s">
        <v>530</v>
      </c>
      <c r="H25" s="118" t="s">
        <v>530</v>
      </c>
      <c r="I25" s="118" t="s">
        <v>530</v>
      </c>
      <c r="J25" s="118" t="s">
        <v>530</v>
      </c>
      <c r="K25" s="118" t="s">
        <v>530</v>
      </c>
      <c r="L25" s="118" t="s">
        <v>530</v>
      </c>
      <c r="M25" s="118" t="s">
        <v>530</v>
      </c>
      <c r="N25" s="115" t="s">
        <v>581</v>
      </c>
      <c r="P25" s="19"/>
      <c r="R25" s="22"/>
      <c r="S25" s="2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row>
    <row r="26" spans="1:78" s="7" customFormat="1" x14ac:dyDescent="0.5">
      <c r="A26" s="46"/>
      <c r="B26" s="6">
        <f t="shared" si="6"/>
        <v>2</v>
      </c>
      <c r="C26" s="15">
        <v>44042.608668981484</v>
      </c>
      <c r="D26" s="6" t="str">
        <f t="shared" si="1"/>
        <v>Donnerstag</v>
      </c>
      <c r="E26" s="103">
        <f t="shared" si="2"/>
        <v>24</v>
      </c>
      <c r="F26" s="111" t="s">
        <v>536</v>
      </c>
      <c r="G26" s="117" t="s">
        <v>530</v>
      </c>
      <c r="H26" s="117" t="s">
        <v>530</v>
      </c>
      <c r="I26" s="117" t="s">
        <v>530</v>
      </c>
      <c r="J26" s="117" t="s">
        <v>530</v>
      </c>
      <c r="K26" s="117" t="s">
        <v>530</v>
      </c>
      <c r="L26" s="117" t="s">
        <v>530</v>
      </c>
      <c r="M26" s="117" t="s">
        <v>530</v>
      </c>
      <c r="N26" s="112" t="s">
        <v>582</v>
      </c>
      <c r="P26" s="19"/>
      <c r="R26" s="22"/>
      <c r="S26" s="2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row>
    <row r="27" spans="1:78" s="7" customFormat="1" x14ac:dyDescent="0.5">
      <c r="A27" s="46"/>
      <c r="B27" s="17">
        <f t="shared" si="6"/>
        <v>1</v>
      </c>
      <c r="C27" s="16">
        <v>44043.608668981484</v>
      </c>
      <c r="D27" s="17" t="str">
        <f t="shared" si="1"/>
        <v>Freitag</v>
      </c>
      <c r="E27" s="32">
        <f t="shared" si="2"/>
        <v>24</v>
      </c>
      <c r="F27" s="114" t="s">
        <v>536</v>
      </c>
      <c r="G27" s="118" t="s">
        <v>530</v>
      </c>
      <c r="H27" s="118" t="s">
        <v>530</v>
      </c>
      <c r="I27" s="118" t="s">
        <v>530</v>
      </c>
      <c r="J27" s="118" t="s">
        <v>530</v>
      </c>
      <c r="K27" s="118" t="s">
        <v>530</v>
      </c>
      <c r="L27" s="118" t="s">
        <v>530</v>
      </c>
      <c r="M27" s="118" t="s">
        <v>530</v>
      </c>
      <c r="N27" s="115" t="s">
        <v>583</v>
      </c>
      <c r="P27" s="19"/>
      <c r="R27" s="22"/>
      <c r="S27" s="2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row>
    <row r="28" spans="1:78" s="7" customFormat="1" x14ac:dyDescent="0.5">
      <c r="A28" s="46"/>
      <c r="B28" s="17">
        <f t="shared" si="6"/>
        <v>1</v>
      </c>
      <c r="C28" s="16">
        <v>44044.608668981484</v>
      </c>
      <c r="D28" s="17" t="str">
        <f t="shared" si="1"/>
        <v>Samstag</v>
      </c>
      <c r="E28" s="32">
        <f t="shared" si="2"/>
        <v>24</v>
      </c>
      <c r="F28" s="114"/>
      <c r="G28" s="118" t="s">
        <v>530</v>
      </c>
      <c r="H28" s="118" t="s">
        <v>530</v>
      </c>
      <c r="I28" s="118" t="s">
        <v>530</v>
      </c>
      <c r="J28" s="118" t="s">
        <v>530</v>
      </c>
      <c r="K28" s="118" t="s">
        <v>530</v>
      </c>
      <c r="L28" s="118" t="s">
        <v>530</v>
      </c>
      <c r="M28" s="118" t="s">
        <v>586</v>
      </c>
      <c r="N28" s="115"/>
      <c r="P28" s="19"/>
      <c r="R28" s="22"/>
      <c r="S28" s="2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row>
    <row r="29" spans="1:78" s="7" customFormat="1" x14ac:dyDescent="0.5">
      <c r="A29" s="46"/>
      <c r="B29" s="6">
        <f t="shared" si="6"/>
        <v>2</v>
      </c>
      <c r="C29" s="15">
        <v>44045.608668981484</v>
      </c>
      <c r="D29" s="6" t="str">
        <f t="shared" si="1"/>
        <v>Sonntag</v>
      </c>
      <c r="E29" s="103">
        <f t="shared" si="2"/>
        <v>24</v>
      </c>
      <c r="F29" s="111"/>
      <c r="G29" s="117" t="s">
        <v>530</v>
      </c>
      <c r="H29" s="117" t="s">
        <v>530</v>
      </c>
      <c r="I29" s="117" t="s">
        <v>530</v>
      </c>
      <c r="J29" s="117" t="s">
        <v>530</v>
      </c>
      <c r="K29" s="117" t="s">
        <v>530</v>
      </c>
      <c r="L29" s="117" t="s">
        <v>530</v>
      </c>
      <c r="M29" s="117"/>
      <c r="N29" s="112"/>
      <c r="P29" s="19"/>
      <c r="R29" s="22"/>
      <c r="S29" s="2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row>
    <row r="30" spans="1:78" s="7" customFormat="1" x14ac:dyDescent="0.5">
      <c r="A30" s="46"/>
      <c r="B30" s="6">
        <f t="shared" si="6"/>
        <v>2</v>
      </c>
      <c r="C30" s="15">
        <v>44047.983668981484</v>
      </c>
      <c r="D30" s="6" t="str">
        <f t="shared" si="1"/>
        <v>Dienstag</v>
      </c>
      <c r="E30" s="103">
        <f t="shared" si="2"/>
        <v>57</v>
      </c>
      <c r="F30" s="111"/>
      <c r="G30" s="117" t="s">
        <v>530</v>
      </c>
      <c r="H30" s="117" t="s">
        <v>530</v>
      </c>
      <c r="I30" s="117" t="s">
        <v>530</v>
      </c>
      <c r="J30" s="117" t="s">
        <v>530</v>
      </c>
      <c r="K30" s="117" t="s">
        <v>530</v>
      </c>
      <c r="L30" s="117" t="s">
        <v>530</v>
      </c>
      <c r="M30" s="117" t="s">
        <v>539</v>
      </c>
      <c r="N30" s="112" t="s">
        <v>546</v>
      </c>
      <c r="P30" s="19"/>
      <c r="R30" s="22"/>
      <c r="S30" s="2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row>
    <row r="31" spans="1:78" s="7" customFormat="1" ht="28.7" x14ac:dyDescent="0.5">
      <c r="A31" s="46"/>
      <c r="B31" s="17">
        <f t="shared" si="6"/>
        <v>1</v>
      </c>
      <c r="C31" s="16">
        <v>44048.358668981484</v>
      </c>
      <c r="D31" s="17" t="str">
        <f t="shared" si="1"/>
        <v>Mittwoch</v>
      </c>
      <c r="E31" s="32">
        <f t="shared" si="2"/>
        <v>9</v>
      </c>
      <c r="F31" s="114"/>
      <c r="G31" s="118" t="s">
        <v>530</v>
      </c>
      <c r="H31" s="118" t="s">
        <v>530</v>
      </c>
      <c r="I31" s="118" t="s">
        <v>530</v>
      </c>
      <c r="J31" s="118" t="s">
        <v>530</v>
      </c>
      <c r="K31" s="118" t="s">
        <v>530</v>
      </c>
      <c r="L31" s="118" t="s">
        <v>530</v>
      </c>
      <c r="M31" s="118"/>
      <c r="N31" s="115" t="s">
        <v>589</v>
      </c>
      <c r="P31" s="19"/>
      <c r="R31" s="22"/>
      <c r="S31" s="2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row>
    <row r="32" spans="1:78" s="7" customFormat="1" x14ac:dyDescent="0.5">
      <c r="A32" s="46"/>
      <c r="B32" s="6">
        <f t="shared" si="6"/>
        <v>2</v>
      </c>
      <c r="C32" s="15">
        <v>44049.733668981484</v>
      </c>
      <c r="D32" s="6" t="str">
        <f t="shared" si="1"/>
        <v>Donnerstag</v>
      </c>
      <c r="E32" s="103">
        <f t="shared" si="2"/>
        <v>33</v>
      </c>
      <c r="F32" s="111"/>
      <c r="G32" s="117" t="s">
        <v>530</v>
      </c>
      <c r="H32" s="117" t="s">
        <v>530</v>
      </c>
      <c r="I32" s="117" t="s">
        <v>530</v>
      </c>
      <c r="J32" s="117" t="s">
        <v>530</v>
      </c>
      <c r="K32" s="117" t="s">
        <v>530</v>
      </c>
      <c r="L32" s="117" t="s">
        <v>530</v>
      </c>
      <c r="M32" s="117"/>
      <c r="N32" s="112"/>
      <c r="P32" s="19"/>
      <c r="R32" s="22"/>
      <c r="S32" s="2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row>
    <row r="33" spans="1:78" s="7" customFormat="1" x14ac:dyDescent="0.5">
      <c r="A33" s="46"/>
      <c r="B33" s="6">
        <f t="shared" si="6"/>
        <v>2</v>
      </c>
      <c r="C33" s="15">
        <v>44051.608668981484</v>
      </c>
      <c r="D33" s="6" t="str">
        <f t="shared" si="1"/>
        <v>Samstag</v>
      </c>
      <c r="E33" s="103">
        <f t="shared" si="2"/>
        <v>45</v>
      </c>
      <c r="F33" s="111" t="s">
        <v>584</v>
      </c>
      <c r="G33" s="117" t="s">
        <v>530</v>
      </c>
      <c r="H33" s="117" t="s">
        <v>530</v>
      </c>
      <c r="I33" s="117" t="s">
        <v>530</v>
      </c>
      <c r="J33" s="117" t="s">
        <v>530</v>
      </c>
      <c r="K33" s="117" t="s">
        <v>530</v>
      </c>
      <c r="L33" s="117" t="s">
        <v>530</v>
      </c>
      <c r="M33" s="117"/>
      <c r="N33" s="112" t="s">
        <v>535</v>
      </c>
      <c r="P33" s="19"/>
      <c r="R33" s="22"/>
      <c r="S33" s="2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row>
    <row r="34" spans="1:78" s="7" customFormat="1" ht="28.7" x14ac:dyDescent="0.5">
      <c r="A34" s="46"/>
      <c r="B34" s="6">
        <f t="shared" si="6"/>
        <v>2</v>
      </c>
      <c r="C34" s="15">
        <v>44051.757280092592</v>
      </c>
      <c r="D34" s="6" t="str">
        <f>IF(ISBLANK(C34),"",IF(WEEKDAY(C34)=7,"Samstag",IF(WEEKDAY(C34)=6,"Freitag",IF(WEEKDAY(C34)=5,"Donnerstag",IF(WEEKDAY(C34)=4,"Mittwoch",IF(WEEKDAY(C34)=3,"Dienstag",IF(WEEKDAY(C34)=2,"Montag",IF(WEEKDAY(C34)=1,"Sonntag"))))))))</f>
        <v>Samstag</v>
      </c>
      <c r="E34" s="103">
        <f t="shared" si="2"/>
        <v>3.566666666592937</v>
      </c>
      <c r="F34" s="111" t="s">
        <v>585</v>
      </c>
      <c r="G34" s="117" t="s">
        <v>530</v>
      </c>
      <c r="H34" s="117" t="s">
        <v>530</v>
      </c>
      <c r="I34" s="117" t="s">
        <v>530</v>
      </c>
      <c r="J34" s="117" t="s">
        <v>530</v>
      </c>
      <c r="K34" s="117" t="s">
        <v>530</v>
      </c>
      <c r="L34" s="117" t="s">
        <v>530</v>
      </c>
      <c r="M34" s="117"/>
      <c r="N34" s="112" t="s">
        <v>588</v>
      </c>
      <c r="P34" s="19"/>
      <c r="R34" s="22"/>
      <c r="S34" s="2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row>
    <row r="35" spans="1:78" s="7" customFormat="1" ht="15.7" x14ac:dyDescent="0.55000000000000004">
      <c r="A35" s="46"/>
      <c r="B35" s="6">
        <f t="shared" si="6"/>
        <v>2</v>
      </c>
      <c r="C35" s="15">
        <v>44053.358668981484</v>
      </c>
      <c r="D35" s="6" t="str">
        <f>IF(ISBLANK(C35),"",IF(WEEKDAY(C35)=7,"Samstag",IF(WEEKDAY(C35)=6,"Freitag",IF(WEEKDAY(C35)=5,"Donnerstag",IF(WEEKDAY(C35)=4,"Mittwoch",IF(WEEKDAY(C35)=3,"Dienstag",IF(WEEKDAY(C35)=2,"Montag",IF(WEEKDAY(C35)=1,"Sonntag"))))))))</f>
        <v>Montag</v>
      </c>
      <c r="E35" s="103">
        <f t="shared" si="2"/>
        <v>38.433333333407063</v>
      </c>
      <c r="F35" s="111" t="s">
        <v>538</v>
      </c>
      <c r="G35" s="117" t="s">
        <v>530</v>
      </c>
      <c r="H35" s="117" t="s">
        <v>530</v>
      </c>
      <c r="I35" s="117" t="s">
        <v>530</v>
      </c>
      <c r="J35" s="117" t="s">
        <v>530</v>
      </c>
      <c r="K35" s="117" t="s">
        <v>530</v>
      </c>
      <c r="L35" s="117" t="s">
        <v>530</v>
      </c>
      <c r="M35" s="117"/>
      <c r="N35" s="112" t="s">
        <v>587</v>
      </c>
      <c r="P35" s="19"/>
      <c r="R35" s="22"/>
      <c r="S35" s="2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row>
    <row r="36" spans="1:78" x14ac:dyDescent="0.5">
      <c r="B36" s="6">
        <f t="shared" si="6"/>
        <v>2</v>
      </c>
      <c r="C36" s="15">
        <v>44053.475173611114</v>
      </c>
      <c r="D36" s="6" t="str">
        <f>IF(ISBLANK(C36),"",IF(WEEKDAY(C36)=7,"Samstag",IF(WEEKDAY(C36)=6,"Freitag",IF(WEEKDAY(C36)=5,"Donnerstag",IF(WEEKDAY(C36)=4,"Mittwoch",IF(WEEKDAY(C36)=3,"Dienstag",IF(WEEKDAY(C36)=2,"Montag",IF(WEEKDAY(C36)=1,"Sonntag"))))))))</f>
        <v>Montag</v>
      </c>
      <c r="E36" s="103">
        <f t="shared" si="2"/>
        <v>2.7961111111217178</v>
      </c>
      <c r="F36" s="111"/>
      <c r="G36" s="117"/>
      <c r="H36" s="117"/>
      <c r="I36" s="117"/>
      <c r="J36" s="117"/>
      <c r="K36" s="117"/>
      <c r="L36" s="117"/>
      <c r="M36" s="117"/>
      <c r="N36" s="112"/>
      <c r="O36" s="7"/>
      <c r="P36" s="19"/>
      <c r="Q36" s="7"/>
      <c r="R36" s="22"/>
      <c r="S36" s="23"/>
    </row>
    <row r="37" spans="1:78" x14ac:dyDescent="0.5">
      <c r="B37" s="153">
        <f t="shared" si="6"/>
        <v>1</v>
      </c>
      <c r="C37" s="16">
        <v>44058.580138888887</v>
      </c>
      <c r="D37" s="17" t="str">
        <f>IF(ISBLANK(C37),"",IF(WEEKDAY(C37)=7,"Samstag",IF(WEEKDAY(C37)=6,"Freitag",IF(WEEKDAY(C37)=5,"Donnerstag",IF(WEEKDAY(C37)=4,"Mittwoch",IF(WEEKDAY(C37)=3,"Dienstag",IF(WEEKDAY(C37)=2,"Montag",IF(WEEKDAY(C37)=1,"Sonntag"))))))))</f>
        <v>Samstag</v>
      </c>
      <c r="E37" s="32">
        <f t="shared" ref="E37" si="7">IF(ISBLANK(C37),"",(C37-C36)*24)</f>
        <v>122.5191666665487</v>
      </c>
      <c r="F37" s="114"/>
      <c r="G37" s="118"/>
      <c r="H37" s="118"/>
      <c r="I37" s="118"/>
      <c r="J37" s="118"/>
      <c r="K37" s="118"/>
      <c r="L37" s="118"/>
      <c r="M37" s="118"/>
      <c r="N37" s="115"/>
      <c r="O37" s="7"/>
      <c r="P37" s="19"/>
      <c r="Q37" s="7"/>
      <c r="R37" s="22"/>
      <c r="S37" s="23"/>
    </row>
    <row r="38" spans="1:78" x14ac:dyDescent="0.5">
      <c r="B38" s="6">
        <f t="shared" si="6"/>
        <v>2</v>
      </c>
      <c r="C38" s="15">
        <v>44059.477800925924</v>
      </c>
      <c r="D38" s="6" t="str">
        <f>IF(ISBLANK(C38),"",IF(WEEKDAY(C38)=7,"Samstag",IF(WEEKDAY(C38)=6,"Freitag",IF(WEEKDAY(C38)=5,"Donnerstag",IF(WEEKDAY(C38)=4,"Mittwoch",IF(WEEKDAY(C38)=3,"Dienstag",IF(WEEKDAY(C38)=2,"Montag",IF(WEEKDAY(C38)=1,"Sonntag"))))))))</f>
        <v>Sonntag</v>
      </c>
      <c r="E38" s="5">
        <f t="shared" ref="E38" si="8">IF(ISBLANK(C38),"",(C38-C37)*24)</f>
        <v>21.543888888903894</v>
      </c>
      <c r="F38" s="111" t="s">
        <v>18</v>
      </c>
      <c r="G38" s="117"/>
      <c r="H38" s="117" t="s">
        <v>590</v>
      </c>
      <c r="I38" s="117"/>
      <c r="J38" s="117" t="s">
        <v>0</v>
      </c>
      <c r="K38" s="117"/>
      <c r="L38" s="117" t="s">
        <v>0</v>
      </c>
      <c r="M38" s="117"/>
      <c r="N38" s="112" t="s">
        <v>593</v>
      </c>
      <c r="O38" s="7"/>
      <c r="P38" s="19"/>
      <c r="Q38" s="7"/>
      <c r="R38" s="22"/>
      <c r="S38" s="23"/>
    </row>
    <row r="39" spans="1:78" x14ac:dyDescent="0.5">
      <c r="B39" s="6">
        <f t="shared" si="6"/>
        <v>2</v>
      </c>
      <c r="C39" s="15">
        <v>44059.506643518522</v>
      </c>
      <c r="D39" s="6" t="str">
        <f>IF(ISBLANK(C39),"",IF(WEEKDAY(C39)=7,"Samstag",IF(WEEKDAY(C39)=6,"Freitag",IF(WEEKDAY(C39)=5,"Donnerstag",IF(WEEKDAY(C39)=4,"Mittwoch",IF(WEEKDAY(C39)=3,"Dienstag",IF(WEEKDAY(C39)=2,"Montag",IF(WEEKDAY(C39)=1,"Sonntag"))))))))</f>
        <v>Sonntag</v>
      </c>
      <c r="E39" s="5">
        <f t="shared" ref="E39" si="9">IF(ISBLANK(C39),"",(C39-C38)*24)</f>
        <v>0.69222222233656794</v>
      </c>
      <c r="F39" s="111" t="s">
        <v>554</v>
      </c>
      <c r="G39" s="117"/>
      <c r="H39" s="117" t="s">
        <v>594</v>
      </c>
      <c r="I39" s="117"/>
      <c r="J39" s="117" t="s">
        <v>0</v>
      </c>
      <c r="K39" s="117"/>
      <c r="L39" s="117" t="s">
        <v>0</v>
      </c>
      <c r="M39" s="117"/>
      <c r="N39" s="112" t="s">
        <v>595</v>
      </c>
      <c r="O39" s="7"/>
      <c r="P39" s="19"/>
      <c r="Q39" s="7"/>
      <c r="R39" s="22"/>
      <c r="S39" s="23"/>
    </row>
    <row r="40" spans="1:78" x14ac:dyDescent="0.5">
      <c r="B40" s="104"/>
      <c r="C40" s="105"/>
      <c r="D40" s="102"/>
      <c r="E40" s="106"/>
      <c r="F40" s="119"/>
      <c r="G40" s="119"/>
      <c r="H40" s="119"/>
      <c r="I40" s="119"/>
      <c r="J40" s="119"/>
      <c r="K40" s="119"/>
      <c r="L40" s="119"/>
      <c r="M40" s="119"/>
      <c r="N40" s="120"/>
      <c r="O40" s="7"/>
      <c r="P40" s="19"/>
      <c r="Q40" s="7"/>
      <c r="R40" s="22"/>
      <c r="S40" s="23"/>
    </row>
    <row r="41" spans="1:78" x14ac:dyDescent="0.5">
      <c r="B41" s="104"/>
      <c r="C41" s="105"/>
      <c r="D41" s="102"/>
      <c r="E41" s="106"/>
      <c r="F41" s="119"/>
      <c r="G41" s="119"/>
      <c r="H41" s="119"/>
      <c r="I41" s="119"/>
      <c r="J41" s="119"/>
      <c r="K41" s="119"/>
      <c r="L41" s="119"/>
      <c r="M41" s="119"/>
      <c r="N41" s="120" t="s">
        <v>531</v>
      </c>
      <c r="O41" s="7"/>
      <c r="P41" s="19"/>
      <c r="Q41" s="7"/>
      <c r="R41" s="22"/>
      <c r="S41" s="23"/>
    </row>
    <row r="42" spans="1:78" x14ac:dyDescent="0.5">
      <c r="B42" s="104"/>
      <c r="C42" s="105"/>
      <c r="D42" s="102"/>
      <c r="E42" s="106"/>
      <c r="F42" s="119"/>
      <c r="G42" s="119"/>
      <c r="H42" s="119"/>
      <c r="I42" s="119"/>
      <c r="J42" s="119"/>
      <c r="K42" s="119"/>
      <c r="L42" s="119"/>
      <c r="M42" s="119"/>
      <c r="N42" s="120" t="s">
        <v>534</v>
      </c>
      <c r="O42" s="7"/>
      <c r="P42" s="19"/>
      <c r="Q42" s="7"/>
      <c r="R42" s="22"/>
      <c r="S42" s="23"/>
    </row>
    <row r="43" spans="1:78" x14ac:dyDescent="0.5">
      <c r="B43" s="104"/>
      <c r="C43" s="105"/>
      <c r="D43" s="102"/>
      <c r="E43" s="106"/>
      <c r="F43" s="119"/>
      <c r="G43" s="119"/>
      <c r="H43" s="119"/>
      <c r="I43" s="119"/>
      <c r="J43" s="119"/>
      <c r="K43" s="119"/>
      <c r="L43" s="119"/>
      <c r="M43" s="119"/>
      <c r="N43" s="120" t="s">
        <v>533</v>
      </c>
      <c r="O43" s="7"/>
      <c r="P43" s="19"/>
      <c r="Q43" s="7"/>
      <c r="R43" s="22"/>
      <c r="S43" s="23"/>
    </row>
    <row r="44" spans="1:78" ht="28.7" x14ac:dyDescent="0.5">
      <c r="B44" s="104"/>
      <c r="C44" s="105"/>
      <c r="D44" s="102"/>
      <c r="E44" s="106"/>
      <c r="F44" s="119"/>
      <c r="G44" s="119"/>
      <c r="H44" s="119"/>
      <c r="I44" s="119"/>
      <c r="J44" s="119"/>
      <c r="K44" s="119"/>
      <c r="L44" s="119"/>
      <c r="M44" s="119"/>
      <c r="N44" s="120" t="s">
        <v>532</v>
      </c>
      <c r="O44" s="7"/>
      <c r="P44" s="19"/>
      <c r="Q44" s="7"/>
      <c r="R44" s="22"/>
      <c r="S44" s="23"/>
    </row>
    <row r="45" spans="1:78" x14ac:dyDescent="0.5">
      <c r="B45" s="42"/>
      <c r="C45" s="43">
        <v>44053.705741956015</v>
      </c>
      <c r="D45" s="44" t="str">
        <f t="shared" ref="D45:D59" si="10">IF(ISBLANK(C45),"",IF(WEEKDAY(C45)=7,"Samstag",IF(WEEKDAY(C45)=6,"Freitag",IF(WEEKDAY(C45)=5,"Donnerstag",IF(WEEKDAY(C45)=4,"Mittwoch",IF(WEEKDAY(C45)=3,"Dienstag",IF(WEEKDAY(C45)=2,"Montag",IF(WEEKDAY(C45)=1,"Sonntag"))))))))</f>
        <v>Montag</v>
      </c>
      <c r="E45" s="45"/>
      <c r="F45" s="121"/>
      <c r="G45" s="121"/>
      <c r="H45" s="121"/>
      <c r="I45" s="121"/>
      <c r="J45" s="121"/>
      <c r="K45" s="121"/>
      <c r="L45" s="121"/>
      <c r="M45" s="121"/>
      <c r="N45" s="122" t="s">
        <v>1</v>
      </c>
      <c r="O45" s="7"/>
      <c r="P45" s="19"/>
      <c r="Q45" s="7"/>
      <c r="R45" s="22"/>
      <c r="S45" s="23"/>
    </row>
    <row r="46" spans="1:78" x14ac:dyDescent="0.5">
      <c r="B46" s="38"/>
      <c r="C46" s="39">
        <v>44054.705093807868</v>
      </c>
      <c r="D46" s="40" t="str">
        <f t="shared" si="10"/>
        <v>Dienstag</v>
      </c>
      <c r="E46" s="41"/>
      <c r="F46" s="123"/>
      <c r="G46" s="123"/>
      <c r="H46" s="123"/>
      <c r="I46" s="123"/>
      <c r="J46" s="123"/>
      <c r="K46" s="123"/>
      <c r="L46" s="123"/>
      <c r="M46" s="123"/>
      <c r="N46" s="124" t="s">
        <v>540</v>
      </c>
      <c r="O46" s="7"/>
      <c r="P46" s="19"/>
      <c r="Q46" s="7"/>
      <c r="R46" s="22"/>
      <c r="S46" s="23"/>
    </row>
    <row r="47" spans="1:78" x14ac:dyDescent="0.5">
      <c r="B47" s="42"/>
      <c r="C47" s="43">
        <v>44055.704445659721</v>
      </c>
      <c r="D47" s="44" t="str">
        <f t="shared" si="10"/>
        <v>Mittwoch</v>
      </c>
      <c r="E47" s="45"/>
      <c r="F47" s="121"/>
      <c r="G47" s="121"/>
      <c r="H47" s="121"/>
      <c r="I47" s="121"/>
      <c r="J47" s="121"/>
      <c r="K47" s="121"/>
      <c r="L47" s="121"/>
      <c r="M47" s="121"/>
      <c r="N47" s="122" t="s">
        <v>541</v>
      </c>
      <c r="O47" s="7"/>
      <c r="P47" s="19"/>
      <c r="Q47" s="7"/>
      <c r="R47" s="22"/>
      <c r="S47" s="23"/>
    </row>
    <row r="48" spans="1:78" x14ac:dyDescent="0.5">
      <c r="B48" s="38"/>
      <c r="C48" s="39">
        <v>44056.703797511575</v>
      </c>
      <c r="D48" s="40" t="str">
        <f t="shared" si="10"/>
        <v>Donnerstag</v>
      </c>
      <c r="E48" s="41"/>
      <c r="F48" s="123"/>
      <c r="G48" s="123"/>
      <c r="H48" s="123"/>
      <c r="I48" s="123"/>
      <c r="J48" s="123"/>
      <c r="K48" s="123"/>
      <c r="L48" s="123"/>
      <c r="M48" s="123"/>
      <c r="N48" s="124" t="s">
        <v>540</v>
      </c>
      <c r="O48" s="7"/>
      <c r="P48" s="19"/>
      <c r="Q48" s="7"/>
      <c r="R48" s="22"/>
      <c r="S48" s="23"/>
    </row>
    <row r="49" spans="2:19" x14ac:dyDescent="0.5">
      <c r="B49" s="42"/>
      <c r="C49" s="43">
        <v>44057.703149363428</v>
      </c>
      <c r="D49" s="44" t="str">
        <f t="shared" si="10"/>
        <v>Freitag</v>
      </c>
      <c r="E49" s="45"/>
      <c r="F49" s="121"/>
      <c r="G49" s="121"/>
      <c r="H49" s="121"/>
      <c r="I49" s="121"/>
      <c r="J49" s="121"/>
      <c r="K49" s="121"/>
      <c r="L49" s="121"/>
      <c r="M49" s="121"/>
      <c r="N49" s="122" t="s">
        <v>1</v>
      </c>
      <c r="O49" s="7"/>
      <c r="P49" s="19"/>
      <c r="Q49" s="7"/>
      <c r="R49" s="22"/>
      <c r="S49" s="23"/>
    </row>
    <row r="50" spans="2:19" x14ac:dyDescent="0.5">
      <c r="B50" s="38"/>
      <c r="C50" s="39">
        <v>44058.702501215281</v>
      </c>
      <c r="D50" s="40" t="str">
        <f t="shared" si="10"/>
        <v>Samstag</v>
      </c>
      <c r="E50" s="41"/>
      <c r="F50" s="123"/>
      <c r="G50" s="123"/>
      <c r="H50" s="123"/>
      <c r="I50" s="123"/>
      <c r="J50" s="123"/>
      <c r="K50" s="123"/>
      <c r="L50" s="123"/>
      <c r="M50" s="123"/>
      <c r="N50" s="125"/>
      <c r="O50" s="7"/>
      <c r="P50" s="19"/>
      <c r="Q50" s="7"/>
      <c r="R50" s="22"/>
      <c r="S50" s="23"/>
    </row>
    <row r="51" spans="2:19" x14ac:dyDescent="0.5">
      <c r="B51" s="42"/>
      <c r="C51" s="43">
        <v>44063.699260474539</v>
      </c>
      <c r="D51" s="44" t="str">
        <f t="shared" si="10"/>
        <v>Donnerstag</v>
      </c>
      <c r="E51" s="45"/>
      <c r="F51" s="121"/>
      <c r="G51" s="121"/>
      <c r="H51" s="121"/>
      <c r="I51" s="121"/>
      <c r="J51" s="121"/>
      <c r="K51" s="121"/>
      <c r="L51" s="121"/>
      <c r="M51" s="121"/>
      <c r="N51" s="122"/>
      <c r="O51" s="7"/>
      <c r="P51" s="19"/>
      <c r="Q51" s="7"/>
      <c r="R51" s="22"/>
      <c r="S51" s="23"/>
    </row>
    <row r="52" spans="2:19" x14ac:dyDescent="0.5">
      <c r="B52" s="38"/>
      <c r="C52" s="39">
        <v>44064.698612326392</v>
      </c>
      <c r="D52" s="40" t="str">
        <f t="shared" si="10"/>
        <v>Freitag</v>
      </c>
      <c r="E52" s="41"/>
      <c r="F52" s="123"/>
      <c r="G52" s="123"/>
      <c r="H52" s="123"/>
      <c r="I52" s="123"/>
      <c r="J52" s="123"/>
      <c r="K52" s="123"/>
      <c r="L52" s="123"/>
      <c r="M52" s="123"/>
      <c r="N52" s="124"/>
      <c r="O52" s="7"/>
      <c r="P52" s="19"/>
      <c r="Q52" s="7"/>
      <c r="R52" s="22"/>
      <c r="S52" s="23"/>
    </row>
    <row r="53" spans="2:19" x14ac:dyDescent="0.5">
      <c r="B53" s="42"/>
      <c r="C53" s="43">
        <v>44065.697964178238</v>
      </c>
      <c r="D53" s="44" t="str">
        <f t="shared" si="10"/>
        <v>Samstag</v>
      </c>
      <c r="E53" s="45"/>
      <c r="F53" s="121"/>
      <c r="G53" s="121"/>
      <c r="H53" s="121"/>
      <c r="I53" s="121"/>
      <c r="J53" s="121"/>
      <c r="K53" s="121"/>
      <c r="L53" s="121"/>
      <c r="M53" s="121"/>
      <c r="N53" s="122" t="s">
        <v>542</v>
      </c>
      <c r="O53" s="7"/>
      <c r="P53" s="19"/>
      <c r="Q53" s="7"/>
      <c r="R53" s="22"/>
      <c r="S53" s="23"/>
    </row>
    <row r="54" spans="2:19" x14ac:dyDescent="0.5">
      <c r="B54" s="38"/>
      <c r="C54" s="39">
        <v>44066.697316030091</v>
      </c>
      <c r="D54" s="40" t="str">
        <f t="shared" si="10"/>
        <v>Sonntag</v>
      </c>
      <c r="E54" s="41"/>
      <c r="F54" s="123"/>
      <c r="G54" s="123"/>
      <c r="H54" s="123"/>
      <c r="I54" s="123"/>
      <c r="J54" s="123"/>
      <c r="K54" s="123"/>
      <c r="L54" s="123"/>
      <c r="M54" s="123"/>
      <c r="N54" s="124"/>
      <c r="O54" s="7"/>
      <c r="P54" s="19"/>
      <c r="Q54" s="7"/>
      <c r="R54" s="22"/>
      <c r="S54" s="23"/>
    </row>
    <row r="55" spans="2:19" x14ac:dyDescent="0.5">
      <c r="B55" s="42"/>
      <c r="C55" s="43">
        <v>44067.696667881944</v>
      </c>
      <c r="D55" s="44" t="str">
        <f t="shared" si="10"/>
        <v>Montag</v>
      </c>
      <c r="E55" s="45"/>
      <c r="F55" s="121"/>
      <c r="G55" s="121"/>
      <c r="H55" s="121"/>
      <c r="I55" s="121"/>
      <c r="J55" s="121"/>
      <c r="K55" s="121"/>
      <c r="L55" s="121"/>
      <c r="M55" s="121"/>
      <c r="N55" s="122"/>
      <c r="O55" s="7"/>
      <c r="P55" s="19"/>
      <c r="Q55" s="7"/>
      <c r="R55" s="22"/>
      <c r="S55" s="23"/>
    </row>
    <row r="56" spans="2:19" x14ac:dyDescent="0.5">
      <c r="B56" s="42"/>
      <c r="C56" s="43">
        <v>44068.696019733798</v>
      </c>
      <c r="D56" s="44" t="str">
        <f t="shared" si="10"/>
        <v>Dienstag</v>
      </c>
      <c r="E56" s="45"/>
      <c r="F56" s="121"/>
      <c r="G56" s="121"/>
      <c r="H56" s="121"/>
      <c r="I56" s="121"/>
      <c r="J56" s="121"/>
      <c r="K56" s="121"/>
      <c r="L56" s="121"/>
      <c r="M56" s="121"/>
      <c r="N56" s="122"/>
      <c r="O56" s="7"/>
      <c r="P56" s="19"/>
      <c r="Q56" s="7"/>
      <c r="R56" s="22"/>
      <c r="S56" s="23"/>
    </row>
    <row r="57" spans="2:19" x14ac:dyDescent="0.5">
      <c r="B57" s="38"/>
      <c r="C57" s="39">
        <v>44069.695371585651</v>
      </c>
      <c r="D57" s="40" t="str">
        <f t="shared" si="10"/>
        <v>Mittwoch</v>
      </c>
      <c r="E57" s="41"/>
      <c r="F57" s="123"/>
      <c r="G57" s="123"/>
      <c r="H57" s="123"/>
      <c r="I57" s="123"/>
      <c r="J57" s="123"/>
      <c r="K57" s="123"/>
      <c r="L57" s="123"/>
      <c r="M57" s="123"/>
      <c r="N57" s="124"/>
      <c r="O57" s="7"/>
      <c r="P57" s="19"/>
      <c r="Q57" s="7"/>
      <c r="R57" s="22"/>
      <c r="S57" s="23"/>
    </row>
    <row r="58" spans="2:19" x14ac:dyDescent="0.5">
      <c r="B58" s="42"/>
      <c r="C58" s="43">
        <v>44070.694723437497</v>
      </c>
      <c r="D58" s="44" t="str">
        <f t="shared" si="10"/>
        <v>Donnerstag</v>
      </c>
      <c r="E58" s="45"/>
      <c r="F58" s="121"/>
      <c r="G58" s="121"/>
      <c r="H58" s="121"/>
      <c r="I58" s="121"/>
      <c r="J58" s="121"/>
      <c r="K58" s="121"/>
      <c r="L58" s="121"/>
      <c r="M58" s="121"/>
      <c r="N58" s="122"/>
      <c r="O58" s="7"/>
      <c r="P58" s="19"/>
      <c r="Q58" s="7"/>
      <c r="R58" s="22"/>
      <c r="S58" s="23"/>
    </row>
    <row r="59" spans="2:19" x14ac:dyDescent="0.5">
      <c r="B59" s="38"/>
      <c r="C59" s="39">
        <v>44071.69407528935</v>
      </c>
      <c r="D59" s="40" t="str">
        <f t="shared" si="10"/>
        <v>Freitag</v>
      </c>
      <c r="E59" s="41"/>
      <c r="F59" s="123"/>
      <c r="G59" s="123"/>
      <c r="H59" s="123"/>
      <c r="I59" s="123"/>
      <c r="J59" s="123"/>
      <c r="K59" s="123"/>
      <c r="L59" s="123"/>
      <c r="M59" s="123"/>
      <c r="N59" s="124" t="s">
        <v>543</v>
      </c>
      <c r="O59" s="7"/>
      <c r="P59" s="19"/>
      <c r="Q59" s="7"/>
      <c r="R59" s="22"/>
      <c r="S59" s="23"/>
    </row>
    <row r="60" spans="2:19" x14ac:dyDescent="0.5">
      <c r="B60" s="42"/>
      <c r="C60" s="43">
        <v>44072.693427141203</v>
      </c>
      <c r="D60" s="44" t="str">
        <f t="shared" ref="D60" si="11">IF(ISBLANK(C60),"",IF(WEEKDAY(C60)=7,"Samstag",IF(WEEKDAY(C60)=6,"Freitag",IF(WEEKDAY(C60)=5,"Donnerstag",IF(WEEKDAY(C60)=4,"Mittwoch",IF(WEEKDAY(C60)=3,"Dienstag",IF(WEEKDAY(C60)=2,"Montag",IF(WEEKDAY(C60)=1,"Sonntag"))))))))</f>
        <v>Samstag</v>
      </c>
      <c r="E60" s="45"/>
      <c r="F60" s="121"/>
      <c r="G60" s="121"/>
      <c r="H60" s="121"/>
      <c r="I60" s="121"/>
      <c r="J60" s="121"/>
      <c r="K60" s="121"/>
      <c r="L60" s="121"/>
      <c r="M60" s="121"/>
      <c r="N60" s="122"/>
      <c r="O60" s="7"/>
      <c r="P60" s="19"/>
      <c r="Q60" s="7"/>
      <c r="R60" s="22"/>
      <c r="S60" s="23"/>
    </row>
    <row r="61" spans="2:19" x14ac:dyDescent="0.5">
      <c r="B61" s="38"/>
      <c r="C61" s="39">
        <v>44163.634445659722</v>
      </c>
      <c r="D61" s="40" t="str">
        <f t="shared" ref="D61" si="12">IF(ISBLANK(C61),"",IF(WEEKDAY(C61)=7,"Samstag",IF(WEEKDAY(C61)=6,"Freitag",IF(WEEKDAY(C61)=5,"Donnerstag",IF(WEEKDAY(C61)=4,"Mittwoch",IF(WEEKDAY(C61)=3,"Dienstag",IF(WEEKDAY(C61)=2,"Montag",IF(WEEKDAY(C61)=1,"Sonntag"))))))))</f>
        <v>Samstag</v>
      </c>
      <c r="E61" s="41"/>
      <c r="F61" s="123"/>
      <c r="G61" s="123"/>
      <c r="H61" s="123"/>
      <c r="I61" s="123"/>
      <c r="J61" s="123"/>
      <c r="K61" s="123"/>
      <c r="L61" s="123"/>
      <c r="M61" s="123"/>
      <c r="N61" s="124"/>
      <c r="O61" s="7"/>
      <c r="P61" s="19"/>
      <c r="Q61" s="7"/>
      <c r="R61" s="22"/>
      <c r="S61" s="23"/>
    </row>
    <row r="62" spans="2:19" x14ac:dyDescent="0.5">
      <c r="B62" s="38"/>
      <c r="C62" s="39">
        <v>44179.62407528935</v>
      </c>
      <c r="D62" s="40" t="str">
        <f t="shared" ref="D62:D72" si="13">IF(ISBLANK(C62),"",IF(WEEKDAY(C62)=7,"Samstag",IF(WEEKDAY(C62)=6,"Freitag",IF(WEEKDAY(C62)=5,"Donnerstag",IF(WEEKDAY(C62)=4,"Mittwoch",IF(WEEKDAY(C62)=3,"Dienstag",IF(WEEKDAY(C62)=2,"Montag",IF(WEEKDAY(C62)=1,"Sonntag"))))))))</f>
        <v>Montag</v>
      </c>
      <c r="E62" s="41"/>
      <c r="F62" s="123"/>
      <c r="G62" s="123"/>
      <c r="H62" s="123"/>
      <c r="I62" s="123"/>
      <c r="J62" s="123"/>
      <c r="K62" s="123"/>
      <c r="L62" s="123"/>
      <c r="M62" s="123"/>
      <c r="N62" s="124"/>
      <c r="O62" s="7"/>
      <c r="P62" s="19"/>
      <c r="Q62" s="7"/>
      <c r="R62" s="22"/>
      <c r="S62" s="23"/>
    </row>
    <row r="63" spans="2:19" x14ac:dyDescent="0.5">
      <c r="B63" s="42"/>
      <c r="C63" s="43">
        <v>44180.623427141203</v>
      </c>
      <c r="D63" s="44" t="str">
        <f t="shared" si="13"/>
        <v>Dienstag</v>
      </c>
      <c r="E63" s="45"/>
      <c r="F63" s="121"/>
      <c r="G63" s="121"/>
      <c r="H63" s="121"/>
      <c r="I63" s="121"/>
      <c r="J63" s="121"/>
      <c r="K63" s="121"/>
      <c r="L63" s="121"/>
      <c r="M63" s="121"/>
      <c r="N63" s="122"/>
      <c r="O63" s="7"/>
      <c r="P63" s="19"/>
      <c r="Q63" s="7"/>
      <c r="R63" s="22"/>
      <c r="S63" s="23"/>
    </row>
    <row r="64" spans="2:19" x14ac:dyDescent="0.5">
      <c r="B64" s="38"/>
      <c r="C64" s="39">
        <v>44181.622778993056</v>
      </c>
      <c r="D64" s="40" t="str">
        <f t="shared" si="13"/>
        <v>Mittwoch</v>
      </c>
      <c r="E64" s="41"/>
      <c r="F64" s="123"/>
      <c r="G64" s="123"/>
      <c r="H64" s="123"/>
      <c r="I64" s="123"/>
      <c r="J64" s="123"/>
      <c r="K64" s="123"/>
      <c r="L64" s="123"/>
      <c r="M64" s="123"/>
      <c r="N64" s="124"/>
      <c r="O64" s="7"/>
      <c r="P64" s="19"/>
      <c r="Q64" s="7"/>
      <c r="R64" s="22"/>
      <c r="S64" s="23"/>
    </row>
    <row r="65" spans="2:19" x14ac:dyDescent="0.5">
      <c r="B65" s="42"/>
      <c r="C65" s="43">
        <v>44182.622130844909</v>
      </c>
      <c r="D65" s="44" t="str">
        <f t="shared" si="13"/>
        <v>Donnerstag</v>
      </c>
      <c r="E65" s="45"/>
      <c r="F65" s="121"/>
      <c r="G65" s="121"/>
      <c r="H65" s="121"/>
      <c r="I65" s="121"/>
      <c r="J65" s="121"/>
      <c r="K65" s="121"/>
      <c r="L65" s="121"/>
      <c r="M65" s="121"/>
      <c r="N65" s="126" t="s">
        <v>544</v>
      </c>
      <c r="O65" s="7"/>
      <c r="P65" s="19"/>
      <c r="Q65" s="7"/>
      <c r="R65" s="22"/>
      <c r="S65" s="23"/>
    </row>
    <row r="66" spans="2:19" x14ac:dyDescent="0.5">
      <c r="B66" s="38"/>
      <c r="C66" s="39">
        <v>44183.621482696763</v>
      </c>
      <c r="D66" s="40" t="str">
        <f t="shared" si="13"/>
        <v>Freitag</v>
      </c>
      <c r="E66" s="41"/>
      <c r="F66" s="123"/>
      <c r="G66" s="123"/>
      <c r="H66" s="123"/>
      <c r="I66" s="123"/>
      <c r="J66" s="123"/>
      <c r="K66" s="123"/>
      <c r="L66" s="123"/>
      <c r="M66" s="123"/>
      <c r="N66" s="124" t="s">
        <v>545</v>
      </c>
      <c r="O66" s="7"/>
      <c r="P66" s="19"/>
      <c r="Q66" s="7"/>
      <c r="R66" s="22"/>
      <c r="S66" s="23"/>
    </row>
    <row r="67" spans="2:19" x14ac:dyDescent="0.5">
      <c r="B67" s="42"/>
      <c r="C67" s="43">
        <v>44184.620834548608</v>
      </c>
      <c r="D67" s="44" t="str">
        <f t="shared" si="13"/>
        <v>Samstag</v>
      </c>
      <c r="E67" s="45"/>
      <c r="F67" s="121"/>
      <c r="G67" s="121"/>
      <c r="H67" s="121"/>
      <c r="I67" s="121"/>
      <c r="J67" s="121"/>
      <c r="K67" s="121"/>
      <c r="L67" s="121"/>
      <c r="M67" s="121"/>
      <c r="N67" s="122"/>
      <c r="O67" s="7"/>
      <c r="P67" s="19"/>
      <c r="Q67" s="7"/>
      <c r="R67" s="22"/>
      <c r="S67" s="23"/>
    </row>
    <row r="68" spans="2:19" x14ac:dyDescent="0.5">
      <c r="B68" s="38"/>
      <c r="C68" s="39">
        <v>44185.620186400462</v>
      </c>
      <c r="D68" s="40" t="str">
        <f t="shared" si="13"/>
        <v>Sonntag</v>
      </c>
      <c r="E68" s="41"/>
      <c r="F68" s="123"/>
      <c r="G68" s="123"/>
      <c r="H68" s="123"/>
      <c r="I68" s="123"/>
      <c r="J68" s="123"/>
      <c r="K68" s="123"/>
      <c r="L68" s="123"/>
      <c r="M68" s="123"/>
      <c r="N68" s="124"/>
      <c r="O68" s="7"/>
      <c r="P68" s="19"/>
      <c r="Q68" s="7"/>
      <c r="R68" s="22"/>
      <c r="S68" s="23"/>
    </row>
    <row r="69" spans="2:19" x14ac:dyDescent="0.5">
      <c r="B69" s="42"/>
      <c r="C69" s="43">
        <v>44193.615001215279</v>
      </c>
      <c r="D69" s="44" t="str">
        <f t="shared" si="13"/>
        <v>Montag</v>
      </c>
      <c r="E69" s="45"/>
      <c r="F69" s="121"/>
      <c r="G69" s="121"/>
      <c r="H69" s="121"/>
      <c r="I69" s="121"/>
      <c r="J69" s="121"/>
      <c r="K69" s="121"/>
      <c r="L69" s="121"/>
      <c r="M69" s="121"/>
      <c r="N69" s="127"/>
    </row>
    <row r="70" spans="2:19" x14ac:dyDescent="0.5">
      <c r="B70" s="38"/>
      <c r="C70" s="39">
        <v>44194.614353067132</v>
      </c>
      <c r="D70" s="40" t="str">
        <f t="shared" si="13"/>
        <v>Dienstag</v>
      </c>
      <c r="E70" s="41"/>
      <c r="F70" s="123"/>
      <c r="G70" s="123"/>
      <c r="H70" s="123"/>
      <c r="I70" s="123"/>
      <c r="J70" s="123"/>
      <c r="K70" s="123"/>
      <c r="L70" s="123"/>
      <c r="M70" s="123"/>
      <c r="N70" s="125"/>
    </row>
    <row r="71" spans="2:19" x14ac:dyDescent="0.5">
      <c r="B71" s="42"/>
      <c r="C71" s="43">
        <v>44195.613704918978</v>
      </c>
      <c r="D71" s="44" t="str">
        <f t="shared" si="13"/>
        <v>Mittwoch</v>
      </c>
      <c r="E71" s="45"/>
      <c r="F71" s="121"/>
      <c r="G71" s="121"/>
      <c r="H71" s="121"/>
      <c r="I71" s="121"/>
      <c r="J71" s="121"/>
      <c r="K71" s="121"/>
      <c r="L71" s="121"/>
      <c r="M71" s="121"/>
      <c r="N71" s="127"/>
    </row>
    <row r="72" spans="2:19" x14ac:dyDescent="0.5">
      <c r="B72" s="38"/>
      <c r="C72" s="39">
        <v>44196.613056770831</v>
      </c>
      <c r="D72" s="40" t="str">
        <f t="shared" si="13"/>
        <v>Donnerstag</v>
      </c>
      <c r="E72" s="41"/>
      <c r="F72" s="123"/>
      <c r="G72" s="123"/>
      <c r="H72" s="123"/>
      <c r="I72" s="123"/>
      <c r="J72" s="123"/>
      <c r="K72" s="123"/>
      <c r="L72" s="123"/>
      <c r="M72" s="123"/>
      <c r="N72" s="125"/>
    </row>
  </sheetData>
  <phoneticPr fontId="35" type="noConversion"/>
  <conditionalFormatting sqref="C45:C1048576">
    <cfRule type="duplicateValues" dxfId="116" priority="189"/>
  </conditionalFormatting>
  <conditionalFormatting sqref="C40:C44">
    <cfRule type="duplicateValues" dxfId="115" priority="40061"/>
  </conditionalFormatting>
  <conditionalFormatting sqref="C1:C39">
    <cfRule type="duplicateValues" dxfId="114" priority="40076"/>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X958"/>
  <sheetViews>
    <sheetView zoomScale="85" zoomScaleNormal="85" workbookViewId="0">
      <selection activeCell="H15" sqref="H15"/>
    </sheetView>
  </sheetViews>
  <sheetFormatPr baseColWidth="10" defaultColWidth="9.17578125" defaultRowHeight="14.35" x14ac:dyDescent="0.5"/>
  <cols>
    <col min="1" max="1" width="16.52734375" customWidth="1"/>
    <col min="6" max="6" width="32.703125" style="48" customWidth="1"/>
    <col min="7" max="7" width="81" style="3" customWidth="1"/>
    <col min="8" max="8" width="76.46875" style="3" customWidth="1"/>
  </cols>
  <sheetData>
    <row r="1" spans="1:24" ht="15.7" x14ac:dyDescent="0.55000000000000004">
      <c r="A1" t="s">
        <v>5</v>
      </c>
      <c r="B1">
        <v>3</v>
      </c>
      <c r="G1" s="34"/>
      <c r="H1" s="30"/>
      <c r="I1" s="29"/>
      <c r="J1" s="29"/>
      <c r="L1" s="29">
        <v>1</v>
      </c>
      <c r="M1">
        <v>2</v>
      </c>
      <c r="N1">
        <v>3</v>
      </c>
      <c r="O1">
        <v>4</v>
      </c>
      <c r="P1">
        <v>5</v>
      </c>
      <c r="Q1">
        <v>6</v>
      </c>
      <c r="T1">
        <v>5</v>
      </c>
      <c r="U1">
        <v>4</v>
      </c>
      <c r="V1">
        <v>3</v>
      </c>
      <c r="W1">
        <v>2</v>
      </c>
      <c r="X1">
        <v>1</v>
      </c>
    </row>
    <row r="2" spans="1:24" ht="15.7" x14ac:dyDescent="0.55000000000000004">
      <c r="A2" t="s">
        <v>4</v>
      </c>
      <c r="B2">
        <v>7</v>
      </c>
      <c r="G2" s="34"/>
      <c r="H2" s="30"/>
      <c r="I2" s="29"/>
      <c r="L2" s="31">
        <f ca="1">RANDBETWEEN(4,8)</f>
        <v>4</v>
      </c>
      <c r="M2">
        <f ca="1">RANDBETWEEN(7,15)</f>
        <v>13</v>
      </c>
      <c r="N2">
        <f ca="1">RANDBETWEEN(M2+COUNTA(I:I)/12,COUNTA(I:I)/4)</f>
        <v>49</v>
      </c>
      <c r="O2">
        <f ca="1">RANDBETWEEN(N2+COUNTA(I:I)*1/2,COUNTA(I:I))</f>
        <v>240</v>
      </c>
      <c r="P2">
        <f>COUNTA(I:I)</f>
        <v>259</v>
      </c>
      <c r="Q2">
        <f ca="1">RANDBETWEEN(COUNTA(K:K)/2,COUNTA(K:K))</f>
        <v>0</v>
      </c>
      <c r="T2">
        <f>COUNTIF($I:$I,5)</f>
        <v>0</v>
      </c>
      <c r="U2">
        <f>COUNTIF($I:$I,4)</f>
        <v>1</v>
      </c>
      <c r="V2">
        <f>COUNTIF($I:$I,3)</f>
        <v>0</v>
      </c>
      <c r="W2">
        <f>COUNTIF($I:$I,2)</f>
        <v>1</v>
      </c>
      <c r="X2">
        <f>COUNTIF($I:$I,1)</f>
        <v>1</v>
      </c>
    </row>
    <row r="3" spans="1:24" ht="28.7" x14ac:dyDescent="0.5">
      <c r="A3" s="29"/>
      <c r="B3" s="36">
        <f>(COUNTIF(I:I,5)*5+COUNTIF(I:I,4)*4+COUNTIF(I:I,3)*3++COUNTIF(I:I,2)*2+COUNTIF(I:I,1)*1)/(COUNTA(I:I)*5)</f>
        <v>5.4054054054054057E-3</v>
      </c>
      <c r="C3" s="29"/>
      <c r="D3" s="29"/>
      <c r="E3" s="33">
        <v>1</v>
      </c>
      <c r="F3" s="48" t="s">
        <v>32</v>
      </c>
      <c r="G3" s="48" t="s">
        <v>242</v>
      </c>
      <c r="H3" s="48" t="s">
        <v>241</v>
      </c>
      <c r="I3" s="35">
        <v>6</v>
      </c>
      <c r="J3" s="35">
        <f ca="1">IF(OFFSET(I2,1,0)=1,$L$2,IF(OFFSET(I2,1,0)=2,$M$2,IF(OFFSET(I2,1,0)=3,$N$2,IF(OFFSET(I2,1,0)=4,$O$2,IF(OFFSET(I2,1,0)=5,$P$2,IF(OFFSET(I2,1,0)=6,$Q$2))))))</f>
        <v>0</v>
      </c>
      <c r="K3" s="108"/>
      <c r="L3" s="108"/>
    </row>
    <row r="4" spans="1:24" ht="28.7" x14ac:dyDescent="0.5">
      <c r="A4" s="29"/>
      <c r="C4" s="29"/>
      <c r="D4" s="29"/>
      <c r="E4" s="33">
        <v>2</v>
      </c>
      <c r="F4" s="48" t="s">
        <v>32</v>
      </c>
      <c r="G4" s="48" t="s">
        <v>301</v>
      </c>
      <c r="H4" s="48" t="s">
        <v>300</v>
      </c>
      <c r="I4" s="35">
        <v>6</v>
      </c>
      <c r="J4" s="29"/>
      <c r="K4" s="108"/>
      <c r="L4" s="108"/>
      <c r="M4" s="108"/>
    </row>
    <row r="5" spans="1:24" ht="15.7" x14ac:dyDescent="0.5">
      <c r="A5" s="35"/>
      <c r="B5" s="29"/>
      <c r="C5" s="29"/>
      <c r="D5" s="29"/>
      <c r="E5" s="33">
        <v>3</v>
      </c>
      <c r="F5" s="48" t="s">
        <v>32</v>
      </c>
      <c r="G5" s="48" t="s">
        <v>237</v>
      </c>
      <c r="H5" s="48" t="s">
        <v>238</v>
      </c>
      <c r="I5" s="35">
        <v>6</v>
      </c>
      <c r="J5" s="29"/>
      <c r="K5" s="108"/>
      <c r="L5" s="108"/>
      <c r="M5" s="108"/>
    </row>
    <row r="6" spans="1:24" ht="28.7" x14ac:dyDescent="0.5">
      <c r="B6" s="29"/>
      <c r="D6" s="29"/>
      <c r="E6" s="33">
        <v>4</v>
      </c>
      <c r="F6" s="48" t="s">
        <v>32</v>
      </c>
      <c r="G6" s="48" t="s">
        <v>88</v>
      </c>
      <c r="H6" s="48" t="s">
        <v>87</v>
      </c>
      <c r="I6" s="35">
        <v>6</v>
      </c>
      <c r="J6" s="29"/>
      <c r="K6" s="108"/>
      <c r="L6" s="108"/>
      <c r="M6" s="108"/>
    </row>
    <row r="7" spans="1:24" ht="28.7" x14ac:dyDescent="0.5">
      <c r="A7">
        <f ca="1">OFFSET(L1,1,0)</f>
        <v>4</v>
      </c>
      <c r="B7" s="29"/>
      <c r="E7" s="33">
        <v>5</v>
      </c>
      <c r="F7" s="48" t="s">
        <v>32</v>
      </c>
      <c r="G7" s="48" t="s">
        <v>398</v>
      </c>
      <c r="H7" s="48" t="s">
        <v>399</v>
      </c>
      <c r="I7" s="35">
        <v>1</v>
      </c>
      <c r="J7" s="29"/>
      <c r="K7" s="108"/>
      <c r="L7" s="108"/>
      <c r="M7" s="108"/>
    </row>
    <row r="8" spans="1:24" ht="71.7" x14ac:dyDescent="0.5">
      <c r="B8" s="29"/>
      <c r="E8" s="33">
        <v>6</v>
      </c>
      <c r="F8" s="48" t="s">
        <v>250</v>
      </c>
      <c r="G8" s="48" t="s">
        <v>265</v>
      </c>
      <c r="H8" s="48" t="s">
        <v>264</v>
      </c>
      <c r="I8" s="35">
        <v>6</v>
      </c>
      <c r="J8" s="29"/>
      <c r="K8" s="108"/>
      <c r="L8" s="108"/>
      <c r="M8" s="108"/>
    </row>
    <row r="9" spans="1:24" ht="43" x14ac:dyDescent="0.5">
      <c r="E9" s="33">
        <v>7</v>
      </c>
      <c r="F9" s="48" t="s">
        <v>32</v>
      </c>
      <c r="G9" s="48" t="s">
        <v>158</v>
      </c>
      <c r="H9" s="48" t="s">
        <v>159</v>
      </c>
      <c r="I9" s="35">
        <v>6</v>
      </c>
      <c r="J9" s="29"/>
      <c r="K9" s="108"/>
      <c r="L9" s="108"/>
      <c r="M9" s="108"/>
      <c r="O9" s="107"/>
    </row>
    <row r="10" spans="1:24" ht="28.7" x14ac:dyDescent="0.5">
      <c r="B10" s="29"/>
      <c r="E10" s="33">
        <v>8</v>
      </c>
      <c r="F10" s="48" t="s">
        <v>32</v>
      </c>
      <c r="G10" s="48" t="s">
        <v>374</v>
      </c>
      <c r="H10" s="48" t="s">
        <v>373</v>
      </c>
      <c r="I10" s="35">
        <v>6</v>
      </c>
      <c r="J10" s="29"/>
      <c r="K10" s="108"/>
      <c r="L10" s="108"/>
      <c r="M10" s="108"/>
      <c r="O10" s="107"/>
    </row>
    <row r="11" spans="1:24" ht="28.7" x14ac:dyDescent="0.5">
      <c r="E11" s="33">
        <v>9</v>
      </c>
      <c r="F11" s="48" t="s">
        <v>32</v>
      </c>
      <c r="G11" s="48" t="s">
        <v>419</v>
      </c>
      <c r="H11" s="48" t="s">
        <v>418</v>
      </c>
      <c r="I11" s="35">
        <v>6</v>
      </c>
      <c r="K11" s="108"/>
      <c r="L11" s="108"/>
      <c r="M11" s="108"/>
      <c r="O11" s="107"/>
    </row>
    <row r="12" spans="1:24" ht="28.7" x14ac:dyDescent="0.5">
      <c r="E12" s="33">
        <v>10</v>
      </c>
      <c r="F12" s="48" t="s">
        <v>32</v>
      </c>
      <c r="G12" s="48" t="s">
        <v>94</v>
      </c>
      <c r="H12" s="48" t="s">
        <v>91</v>
      </c>
      <c r="I12" s="35">
        <v>6</v>
      </c>
      <c r="K12" s="108"/>
      <c r="L12" s="108"/>
      <c r="M12" s="108"/>
      <c r="O12" s="107"/>
    </row>
    <row r="13" spans="1:24" ht="28.7" x14ac:dyDescent="0.5">
      <c r="E13" s="33">
        <v>11</v>
      </c>
      <c r="F13" s="48" t="s">
        <v>32</v>
      </c>
      <c r="G13" s="48" t="s">
        <v>214</v>
      </c>
      <c r="H13" s="48" t="s">
        <v>213</v>
      </c>
      <c r="I13" s="35">
        <v>6</v>
      </c>
      <c r="K13" s="108"/>
      <c r="L13" s="108"/>
      <c r="M13" s="108"/>
    </row>
    <row r="14" spans="1:24" ht="15.7" x14ac:dyDescent="0.5">
      <c r="E14" s="33">
        <v>12</v>
      </c>
      <c r="F14" s="48" t="s">
        <v>32</v>
      </c>
      <c r="G14" s="48" t="s">
        <v>75</v>
      </c>
      <c r="H14" s="48" t="s">
        <v>74</v>
      </c>
      <c r="I14" s="35">
        <v>2</v>
      </c>
      <c r="K14" s="108"/>
      <c r="L14" s="108"/>
      <c r="M14" s="108"/>
    </row>
    <row r="15" spans="1:24" ht="28.7" x14ac:dyDescent="0.5">
      <c r="E15" s="33">
        <v>13</v>
      </c>
      <c r="F15" s="48" t="s">
        <v>32</v>
      </c>
      <c r="G15" s="48" t="s">
        <v>130</v>
      </c>
      <c r="H15" s="48" t="s">
        <v>129</v>
      </c>
      <c r="I15" s="35">
        <v>6</v>
      </c>
      <c r="K15" s="108"/>
      <c r="L15" s="108"/>
      <c r="M15" s="108"/>
    </row>
    <row r="16" spans="1:24" ht="28.7" x14ac:dyDescent="0.5">
      <c r="E16" s="33">
        <v>14</v>
      </c>
      <c r="F16" s="48" t="s">
        <v>32</v>
      </c>
      <c r="G16" s="48" t="s">
        <v>218</v>
      </c>
      <c r="H16" s="48" t="s">
        <v>217</v>
      </c>
      <c r="I16" s="35">
        <v>6</v>
      </c>
      <c r="K16" s="108"/>
      <c r="L16" s="108"/>
      <c r="M16" s="108"/>
    </row>
    <row r="17" spans="5:13" ht="28.7" x14ac:dyDescent="0.5">
      <c r="E17" s="33">
        <v>15</v>
      </c>
      <c r="F17" s="48" t="s">
        <v>32</v>
      </c>
      <c r="G17" s="48" t="s">
        <v>136</v>
      </c>
      <c r="H17" s="48" t="s">
        <v>135</v>
      </c>
      <c r="I17" s="35">
        <v>6</v>
      </c>
      <c r="K17" s="108"/>
      <c r="L17" s="108"/>
      <c r="M17" s="108"/>
    </row>
    <row r="18" spans="5:13" ht="28.7" x14ac:dyDescent="0.5">
      <c r="E18" s="33">
        <v>16</v>
      </c>
      <c r="F18" s="48" t="s">
        <v>32</v>
      </c>
      <c r="G18" s="48" t="s">
        <v>361</v>
      </c>
      <c r="H18" s="48" t="s">
        <v>362</v>
      </c>
      <c r="I18" s="35">
        <v>6</v>
      </c>
      <c r="K18" s="108"/>
      <c r="L18" s="108"/>
      <c r="M18" s="108"/>
    </row>
    <row r="19" spans="5:13" ht="28.7" x14ac:dyDescent="0.5">
      <c r="E19" s="33">
        <v>17</v>
      </c>
      <c r="F19" s="48" t="s">
        <v>32</v>
      </c>
      <c r="G19" s="48" t="s">
        <v>344</v>
      </c>
      <c r="H19" s="48" t="s">
        <v>343</v>
      </c>
      <c r="I19" s="35">
        <v>6</v>
      </c>
      <c r="K19" s="108"/>
      <c r="L19" s="108"/>
      <c r="M19" s="108"/>
    </row>
    <row r="20" spans="5:13" ht="43" x14ac:dyDescent="0.5">
      <c r="E20" s="33">
        <v>18</v>
      </c>
      <c r="F20" s="48" t="s">
        <v>32</v>
      </c>
      <c r="G20" s="48">
        <v>2003</v>
      </c>
      <c r="H20" s="48" t="s">
        <v>334</v>
      </c>
      <c r="I20" s="35">
        <v>6</v>
      </c>
      <c r="K20" s="108"/>
      <c r="L20" s="108"/>
      <c r="M20" s="108"/>
    </row>
    <row r="21" spans="5:13" ht="15.7" x14ac:dyDescent="0.5">
      <c r="E21" s="33">
        <v>19</v>
      </c>
      <c r="F21" s="48" t="s">
        <v>32</v>
      </c>
      <c r="G21" s="48" t="s">
        <v>65</v>
      </c>
      <c r="H21" s="48" t="s">
        <v>64</v>
      </c>
      <c r="I21" s="35">
        <v>6</v>
      </c>
      <c r="K21" s="108"/>
      <c r="L21" s="108"/>
      <c r="M21" s="108"/>
    </row>
    <row r="22" spans="5:13" ht="28.7" x14ac:dyDescent="0.5">
      <c r="E22" s="33">
        <v>20</v>
      </c>
      <c r="F22" s="48" t="s">
        <v>32</v>
      </c>
      <c r="G22" s="48" t="s">
        <v>67</v>
      </c>
      <c r="H22" s="48" t="s">
        <v>66</v>
      </c>
      <c r="I22" s="35">
        <v>6</v>
      </c>
      <c r="K22" s="108"/>
      <c r="L22" s="108"/>
      <c r="M22" s="108"/>
    </row>
    <row r="23" spans="5:13" ht="15.7" x14ac:dyDescent="0.5">
      <c r="E23" s="33">
        <v>21</v>
      </c>
      <c r="F23" s="48" t="s">
        <v>32</v>
      </c>
      <c r="G23" s="48" t="s">
        <v>47</v>
      </c>
      <c r="H23" s="48" t="s">
        <v>46</v>
      </c>
      <c r="I23" s="35">
        <v>6</v>
      </c>
      <c r="K23" s="108"/>
      <c r="L23" s="108"/>
      <c r="M23" s="108"/>
    </row>
    <row r="24" spans="5:13" ht="28.7" x14ac:dyDescent="0.5">
      <c r="E24" s="33">
        <v>22</v>
      </c>
      <c r="F24" s="48" t="s">
        <v>250</v>
      </c>
      <c r="G24" s="48" t="s">
        <v>261</v>
      </c>
      <c r="H24" s="48" t="s">
        <v>260</v>
      </c>
      <c r="I24" s="35">
        <v>6</v>
      </c>
      <c r="K24" s="108"/>
      <c r="L24" s="108"/>
      <c r="M24" s="108"/>
    </row>
    <row r="25" spans="5:13" ht="28.7" x14ac:dyDescent="0.5">
      <c r="E25" s="33">
        <v>23</v>
      </c>
      <c r="F25" s="48" t="s">
        <v>32</v>
      </c>
      <c r="G25" s="48" t="s">
        <v>89</v>
      </c>
      <c r="H25" s="48" t="s">
        <v>90</v>
      </c>
      <c r="I25" s="35">
        <v>6</v>
      </c>
      <c r="K25" s="108"/>
      <c r="L25" s="108"/>
      <c r="M25" s="108"/>
    </row>
    <row r="26" spans="5:13" ht="28.7" x14ac:dyDescent="0.5">
      <c r="E26" s="33">
        <v>24</v>
      </c>
      <c r="F26" s="48" t="s">
        <v>32</v>
      </c>
      <c r="G26" s="48" t="s">
        <v>480</v>
      </c>
      <c r="H26" s="48" t="s">
        <v>479</v>
      </c>
      <c r="I26" s="35">
        <v>6</v>
      </c>
      <c r="K26" s="108"/>
      <c r="L26" s="108"/>
      <c r="M26" s="108"/>
    </row>
    <row r="27" spans="5:13" ht="28.7" x14ac:dyDescent="0.5">
      <c r="E27" s="33">
        <v>25</v>
      </c>
      <c r="F27" s="48" t="s">
        <v>32</v>
      </c>
      <c r="G27" s="48" t="s">
        <v>36</v>
      </c>
      <c r="H27" s="48" t="s">
        <v>37</v>
      </c>
      <c r="I27" s="35">
        <v>6</v>
      </c>
      <c r="K27" s="108"/>
      <c r="L27" s="108"/>
      <c r="M27" s="108"/>
    </row>
    <row r="28" spans="5:13" ht="28.7" x14ac:dyDescent="0.5">
      <c r="E28" s="33">
        <v>26</v>
      </c>
      <c r="F28" s="48" t="s">
        <v>32</v>
      </c>
      <c r="G28" s="48" t="s">
        <v>63</v>
      </c>
      <c r="H28" s="48" t="s">
        <v>62</v>
      </c>
      <c r="I28" s="35">
        <v>6</v>
      </c>
      <c r="K28" s="108"/>
      <c r="L28" s="108"/>
      <c r="M28" s="108"/>
    </row>
    <row r="29" spans="5:13" ht="28.7" x14ac:dyDescent="0.5">
      <c r="E29" s="33">
        <v>27</v>
      </c>
      <c r="F29" s="48" t="s">
        <v>32</v>
      </c>
      <c r="G29" s="48" t="s">
        <v>490</v>
      </c>
      <c r="H29" s="48" t="s">
        <v>489</v>
      </c>
      <c r="I29" s="35">
        <v>6</v>
      </c>
      <c r="K29" s="108"/>
      <c r="L29" s="108"/>
      <c r="M29" s="108"/>
    </row>
    <row r="30" spans="5:13" ht="15.7" x14ac:dyDescent="0.5">
      <c r="E30" s="33">
        <v>28</v>
      </c>
      <c r="F30" s="48" t="s">
        <v>32</v>
      </c>
      <c r="G30" s="48" t="s">
        <v>305</v>
      </c>
      <c r="H30" s="48" t="s">
        <v>304</v>
      </c>
      <c r="I30" s="35">
        <v>6</v>
      </c>
      <c r="K30" s="108"/>
      <c r="L30" s="108"/>
      <c r="M30" s="108"/>
    </row>
    <row r="31" spans="5:13" ht="43" x14ac:dyDescent="0.5">
      <c r="E31" s="33">
        <v>29</v>
      </c>
      <c r="F31" s="48" t="s">
        <v>32</v>
      </c>
      <c r="G31" s="48" t="s">
        <v>498</v>
      </c>
      <c r="H31" s="48" t="s">
        <v>497</v>
      </c>
      <c r="I31" s="35">
        <v>6</v>
      </c>
      <c r="K31" s="108"/>
      <c r="L31" s="108"/>
      <c r="M31" s="108"/>
    </row>
    <row r="32" spans="5:13" ht="43" x14ac:dyDescent="0.5">
      <c r="E32" s="33">
        <v>30</v>
      </c>
      <c r="F32" s="48" t="s">
        <v>32</v>
      </c>
      <c r="G32" s="48" t="s">
        <v>470</v>
      </c>
      <c r="H32" s="48" t="s">
        <v>469</v>
      </c>
      <c r="I32" s="35">
        <v>6</v>
      </c>
      <c r="K32" s="108"/>
      <c r="L32" s="108"/>
      <c r="M32" s="108"/>
    </row>
    <row r="33" spans="5:13" ht="43" x14ac:dyDescent="0.5">
      <c r="E33" s="33">
        <v>31</v>
      </c>
      <c r="F33" s="48" t="s">
        <v>32</v>
      </c>
      <c r="G33" s="48" t="s">
        <v>378</v>
      </c>
      <c r="H33" s="48" t="s">
        <v>377</v>
      </c>
      <c r="I33" s="35">
        <v>6</v>
      </c>
      <c r="K33" s="108"/>
      <c r="L33" s="108"/>
      <c r="M33" s="108"/>
    </row>
    <row r="34" spans="5:13" ht="28.7" x14ac:dyDescent="0.5">
      <c r="E34" s="33">
        <v>32</v>
      </c>
      <c r="F34" s="48" t="s">
        <v>32</v>
      </c>
      <c r="G34" s="48" t="s">
        <v>157</v>
      </c>
      <c r="H34" s="48" t="s">
        <v>156</v>
      </c>
      <c r="I34" s="35">
        <v>6</v>
      </c>
      <c r="K34" s="108"/>
      <c r="L34" s="108"/>
      <c r="M34" s="108"/>
    </row>
    <row r="35" spans="5:13" ht="15.7" x14ac:dyDescent="0.5">
      <c r="E35" s="33">
        <v>33</v>
      </c>
      <c r="F35" s="48" t="s">
        <v>32</v>
      </c>
      <c r="G35" s="48" t="s">
        <v>173</v>
      </c>
      <c r="H35" s="48" t="s">
        <v>172</v>
      </c>
      <c r="I35" s="35">
        <v>6</v>
      </c>
      <c r="K35" s="108"/>
      <c r="L35" s="108"/>
      <c r="M35" s="108"/>
    </row>
    <row r="36" spans="5:13" ht="57.35" x14ac:dyDescent="0.5">
      <c r="E36" s="33">
        <v>34</v>
      </c>
      <c r="F36" s="48" t="s">
        <v>32</v>
      </c>
      <c r="G36" s="48" t="s">
        <v>292</v>
      </c>
      <c r="H36" s="48" t="s">
        <v>293</v>
      </c>
      <c r="I36" s="35">
        <v>6</v>
      </c>
      <c r="K36" s="108"/>
      <c r="L36" s="108"/>
      <c r="M36" s="108"/>
    </row>
    <row r="37" spans="5:13" ht="43" x14ac:dyDescent="0.5">
      <c r="E37" s="33">
        <v>35</v>
      </c>
      <c r="F37" s="48" t="s">
        <v>32</v>
      </c>
      <c r="G37" s="48">
        <v>1996</v>
      </c>
      <c r="H37" s="48" t="s">
        <v>244</v>
      </c>
      <c r="I37" s="35">
        <v>6</v>
      </c>
      <c r="K37" s="108"/>
      <c r="L37" s="108"/>
      <c r="M37" s="108"/>
    </row>
    <row r="38" spans="5:13" ht="15.7" x14ac:dyDescent="0.5">
      <c r="E38" s="33">
        <v>36</v>
      </c>
      <c r="F38" s="48" t="s">
        <v>32</v>
      </c>
      <c r="G38" s="48" t="s">
        <v>113</v>
      </c>
      <c r="H38" s="48" t="s">
        <v>112</v>
      </c>
      <c r="I38" s="35">
        <v>6</v>
      </c>
      <c r="K38" s="108"/>
      <c r="L38" s="108"/>
      <c r="M38" s="108"/>
    </row>
    <row r="39" spans="5:13" ht="28.7" x14ac:dyDescent="0.5">
      <c r="E39" s="33">
        <v>37</v>
      </c>
      <c r="F39" s="48" t="s">
        <v>32</v>
      </c>
      <c r="G39" s="48" t="s">
        <v>394</v>
      </c>
      <c r="H39" s="48" t="s">
        <v>393</v>
      </c>
      <c r="I39" s="35">
        <v>6</v>
      </c>
      <c r="K39" s="108"/>
      <c r="L39" s="108"/>
      <c r="M39" s="108"/>
    </row>
    <row r="40" spans="5:13" ht="15.7" x14ac:dyDescent="0.5">
      <c r="E40" s="33">
        <v>38</v>
      </c>
      <c r="F40" s="48" t="s">
        <v>32</v>
      </c>
      <c r="G40" s="48" t="s">
        <v>77</v>
      </c>
      <c r="H40" s="48" t="s">
        <v>76</v>
      </c>
      <c r="I40" s="35">
        <v>6</v>
      </c>
      <c r="K40" s="108"/>
      <c r="L40" s="108"/>
      <c r="M40" s="108"/>
    </row>
    <row r="41" spans="5:13" ht="28.7" x14ac:dyDescent="0.5">
      <c r="E41" s="33">
        <v>39</v>
      </c>
      <c r="F41" s="48" t="s">
        <v>32</v>
      </c>
      <c r="G41" s="48" t="s">
        <v>443</v>
      </c>
      <c r="H41" s="48" t="s">
        <v>442</v>
      </c>
      <c r="I41" s="35">
        <v>6</v>
      </c>
      <c r="K41" s="108"/>
      <c r="L41" s="108"/>
      <c r="M41" s="108"/>
    </row>
    <row r="42" spans="5:13" ht="28.7" x14ac:dyDescent="0.5">
      <c r="E42" s="33">
        <v>40</v>
      </c>
      <c r="F42" s="48" t="s">
        <v>32</v>
      </c>
      <c r="G42" s="48" t="s">
        <v>134</v>
      </c>
      <c r="H42" s="48" t="s">
        <v>133</v>
      </c>
      <c r="I42" s="35">
        <v>6</v>
      </c>
      <c r="K42" s="108"/>
      <c r="L42" s="108"/>
      <c r="M42" s="108"/>
    </row>
    <row r="43" spans="5:13" ht="43" x14ac:dyDescent="0.5">
      <c r="E43" s="33">
        <v>41</v>
      </c>
      <c r="F43" s="48" t="s">
        <v>32</v>
      </c>
      <c r="G43" s="48" t="s">
        <v>268</v>
      </c>
      <c r="H43" s="48" t="s">
        <v>267</v>
      </c>
      <c r="I43" s="35">
        <v>6</v>
      </c>
      <c r="K43" s="108"/>
      <c r="L43" s="108"/>
      <c r="M43" s="108"/>
    </row>
    <row r="44" spans="5:13" ht="43" x14ac:dyDescent="0.5">
      <c r="E44" s="33">
        <v>42</v>
      </c>
      <c r="F44" s="48" t="s">
        <v>32</v>
      </c>
      <c r="G44" s="48" t="s">
        <v>390</v>
      </c>
      <c r="H44" s="48" t="s">
        <v>389</v>
      </c>
      <c r="I44" s="35">
        <v>6</v>
      </c>
      <c r="K44" s="108"/>
      <c r="L44" s="108"/>
      <c r="M44" s="108"/>
    </row>
    <row r="45" spans="5:13" ht="28.7" x14ac:dyDescent="0.5">
      <c r="E45" s="33">
        <v>43</v>
      </c>
      <c r="F45" s="48" t="s">
        <v>32</v>
      </c>
      <c r="G45" s="48" t="s">
        <v>417</v>
      </c>
      <c r="H45" s="48" t="s">
        <v>416</v>
      </c>
      <c r="I45" s="35">
        <v>6</v>
      </c>
      <c r="K45" s="108"/>
      <c r="L45" s="108"/>
      <c r="M45" s="108"/>
    </row>
    <row r="46" spans="5:13" ht="43" x14ac:dyDescent="0.5">
      <c r="E46" s="33">
        <v>44</v>
      </c>
      <c r="F46" s="48" t="s">
        <v>32</v>
      </c>
      <c r="G46" s="3" t="s">
        <v>182</v>
      </c>
      <c r="H46" s="3" t="s">
        <v>181</v>
      </c>
      <c r="I46" s="35">
        <v>6</v>
      </c>
      <c r="K46" s="108"/>
      <c r="L46" s="108"/>
      <c r="M46" s="108"/>
    </row>
    <row r="47" spans="5:13" ht="28.7" x14ac:dyDescent="0.5">
      <c r="E47" s="33">
        <v>45</v>
      </c>
      <c r="F47" s="48" t="s">
        <v>32</v>
      </c>
      <c r="G47" s="48" t="s">
        <v>352</v>
      </c>
      <c r="H47" s="48" t="s">
        <v>351</v>
      </c>
      <c r="I47" s="35">
        <v>6</v>
      </c>
      <c r="K47" s="108"/>
      <c r="L47" s="108"/>
      <c r="M47" s="108"/>
    </row>
    <row r="48" spans="5:13" ht="28.7" x14ac:dyDescent="0.5">
      <c r="E48" s="33">
        <v>46</v>
      </c>
      <c r="F48" s="48" t="s">
        <v>32</v>
      </c>
      <c r="G48" s="48" t="s">
        <v>160</v>
      </c>
      <c r="H48" s="48" t="s">
        <v>161</v>
      </c>
      <c r="I48" s="35">
        <v>6</v>
      </c>
      <c r="K48" s="108"/>
      <c r="L48" s="108"/>
      <c r="M48" s="108"/>
    </row>
    <row r="49" spans="5:13" ht="28.7" x14ac:dyDescent="0.5">
      <c r="E49" s="33">
        <v>47</v>
      </c>
      <c r="F49" s="48" t="s">
        <v>32</v>
      </c>
      <c r="G49" s="48" t="s">
        <v>128</v>
      </c>
      <c r="H49" s="48" t="s">
        <v>127</v>
      </c>
      <c r="I49" s="35">
        <v>6</v>
      </c>
      <c r="K49" s="108"/>
      <c r="L49" s="108"/>
      <c r="M49" s="108"/>
    </row>
    <row r="50" spans="5:13" ht="28.7" x14ac:dyDescent="0.5">
      <c r="E50" s="33">
        <v>48</v>
      </c>
      <c r="F50" s="48" t="s">
        <v>32</v>
      </c>
      <c r="G50" s="48">
        <v>1987</v>
      </c>
      <c r="H50" s="48" t="s">
        <v>243</v>
      </c>
      <c r="I50" s="35">
        <v>6</v>
      </c>
      <c r="K50" s="108"/>
      <c r="L50" s="108"/>
      <c r="M50" s="108"/>
    </row>
    <row r="51" spans="5:13" ht="28.7" x14ac:dyDescent="0.5">
      <c r="E51" s="33">
        <v>49</v>
      </c>
      <c r="F51" s="48" t="s">
        <v>32</v>
      </c>
      <c r="G51" s="48" t="s">
        <v>496</v>
      </c>
      <c r="H51" s="48" t="s">
        <v>495</v>
      </c>
      <c r="I51" s="35">
        <v>6</v>
      </c>
      <c r="K51" s="108"/>
      <c r="L51" s="108"/>
      <c r="M51" s="108"/>
    </row>
    <row r="52" spans="5:13" ht="15.7" x14ac:dyDescent="0.5">
      <c r="E52" s="33">
        <v>50</v>
      </c>
      <c r="F52" s="48" t="s">
        <v>32</v>
      </c>
      <c r="G52" s="48" t="s">
        <v>439</v>
      </c>
      <c r="H52" s="48" t="s">
        <v>438</v>
      </c>
      <c r="I52" s="35">
        <v>6</v>
      </c>
      <c r="K52" s="108"/>
      <c r="L52" s="108"/>
      <c r="M52" s="108"/>
    </row>
    <row r="53" spans="5:13" ht="15.7" x14ac:dyDescent="0.5">
      <c r="E53" s="33">
        <v>51</v>
      </c>
      <c r="F53" s="48" t="s">
        <v>32</v>
      </c>
      <c r="G53" s="48" t="s">
        <v>320</v>
      </c>
      <c r="H53" s="48" t="s">
        <v>319</v>
      </c>
      <c r="I53" s="35">
        <v>6</v>
      </c>
      <c r="K53" s="108"/>
      <c r="L53" s="108"/>
      <c r="M53" s="108"/>
    </row>
    <row r="54" spans="5:13" ht="28.7" x14ac:dyDescent="0.5">
      <c r="E54" s="33">
        <v>52</v>
      </c>
      <c r="F54" s="48" t="s">
        <v>32</v>
      </c>
      <c r="G54" s="48" t="s">
        <v>430</v>
      </c>
      <c r="H54" s="48" t="s">
        <v>437</v>
      </c>
      <c r="I54" s="35">
        <v>6</v>
      </c>
      <c r="K54" s="108"/>
      <c r="L54" s="108"/>
      <c r="M54" s="108"/>
    </row>
    <row r="55" spans="5:13" ht="28.7" x14ac:dyDescent="0.5">
      <c r="E55" s="33">
        <v>53</v>
      </c>
      <c r="F55" s="48" t="s">
        <v>32</v>
      </c>
      <c r="G55" s="48" t="s">
        <v>425</v>
      </c>
      <c r="H55" s="48" t="s">
        <v>424</v>
      </c>
      <c r="I55" s="35">
        <v>6</v>
      </c>
      <c r="K55" s="108"/>
      <c r="L55" s="108"/>
      <c r="M55" s="108"/>
    </row>
    <row r="56" spans="5:13" ht="28.7" x14ac:dyDescent="0.5">
      <c r="E56" s="33">
        <v>54</v>
      </c>
      <c r="F56" s="48" t="s">
        <v>32</v>
      </c>
      <c r="G56" s="48" t="s">
        <v>142</v>
      </c>
      <c r="H56" s="48" t="s">
        <v>141</v>
      </c>
      <c r="I56" s="35">
        <v>6</v>
      </c>
      <c r="K56" s="108"/>
      <c r="L56" s="108"/>
      <c r="M56" s="108"/>
    </row>
    <row r="57" spans="5:13" ht="43" x14ac:dyDescent="0.5">
      <c r="E57" s="33">
        <v>55</v>
      </c>
      <c r="F57" s="48" t="s">
        <v>32</v>
      </c>
      <c r="G57" s="48" t="s">
        <v>198</v>
      </c>
      <c r="H57" s="48" t="s">
        <v>197</v>
      </c>
      <c r="I57" s="35">
        <v>6</v>
      </c>
      <c r="K57" s="108"/>
      <c r="L57" s="108"/>
      <c r="M57" s="108"/>
    </row>
    <row r="58" spans="5:13" ht="157.69999999999999" x14ac:dyDescent="0.5">
      <c r="E58" s="33">
        <v>56</v>
      </c>
      <c r="F58" s="48" t="s">
        <v>32</v>
      </c>
      <c r="G58" s="48" t="s">
        <v>368</v>
      </c>
      <c r="H58" s="48" t="s">
        <v>367</v>
      </c>
      <c r="I58" s="35">
        <v>6</v>
      </c>
      <c r="K58" s="108"/>
      <c r="L58" s="108"/>
      <c r="M58" s="108"/>
    </row>
    <row r="59" spans="5:13" ht="28.7" x14ac:dyDescent="0.5">
      <c r="E59" s="33">
        <v>57</v>
      </c>
      <c r="F59" s="48" t="s">
        <v>32</v>
      </c>
      <c r="G59" s="48" t="s">
        <v>31</v>
      </c>
      <c r="H59" s="48" t="s">
        <v>30</v>
      </c>
      <c r="I59" s="35">
        <v>6</v>
      </c>
      <c r="K59" s="108"/>
      <c r="L59" s="108"/>
      <c r="M59" s="108"/>
    </row>
    <row r="60" spans="5:13" ht="43" x14ac:dyDescent="0.5">
      <c r="E60" s="33">
        <v>58</v>
      </c>
      <c r="F60" s="48" t="s">
        <v>32</v>
      </c>
      <c r="G60" s="48" t="s">
        <v>464</v>
      </c>
      <c r="H60" s="48" t="s">
        <v>463</v>
      </c>
      <c r="I60" s="35">
        <v>6</v>
      </c>
      <c r="K60" s="108"/>
      <c r="L60" s="108"/>
      <c r="M60" s="108"/>
    </row>
    <row r="61" spans="5:13" ht="28.7" x14ac:dyDescent="0.5">
      <c r="E61" s="33">
        <v>59</v>
      </c>
      <c r="F61" s="48" t="s">
        <v>32</v>
      </c>
      <c r="G61" s="48" t="s">
        <v>148</v>
      </c>
      <c r="H61" s="48" t="s">
        <v>147</v>
      </c>
      <c r="I61" s="35">
        <v>6</v>
      </c>
      <c r="K61" s="108"/>
      <c r="L61" s="108"/>
      <c r="M61" s="108"/>
    </row>
    <row r="62" spans="5:13" ht="28.7" x14ac:dyDescent="0.5">
      <c r="E62" s="33">
        <v>60</v>
      </c>
      <c r="F62" s="48" t="s">
        <v>32</v>
      </c>
      <c r="G62" s="48" t="s">
        <v>163</v>
      </c>
      <c r="H62" s="48" t="s">
        <v>162</v>
      </c>
      <c r="I62" s="35">
        <v>6</v>
      </c>
      <c r="K62" s="108"/>
      <c r="L62" s="108"/>
      <c r="M62" s="108"/>
    </row>
    <row r="63" spans="5:13" ht="43" x14ac:dyDescent="0.5">
      <c r="E63" s="33">
        <v>61</v>
      </c>
      <c r="F63" s="48" t="s">
        <v>32</v>
      </c>
      <c r="G63" s="48" t="s">
        <v>83</v>
      </c>
      <c r="H63" s="48" t="s">
        <v>82</v>
      </c>
      <c r="I63" s="35">
        <v>6</v>
      </c>
      <c r="K63" s="108"/>
      <c r="L63" s="108"/>
      <c r="M63" s="108"/>
    </row>
    <row r="64" spans="5:13" ht="28.7" x14ac:dyDescent="0.5">
      <c r="E64" s="33">
        <v>62</v>
      </c>
      <c r="F64" s="48" t="s">
        <v>32</v>
      </c>
      <c r="G64" s="48" t="s">
        <v>17</v>
      </c>
      <c r="H64" s="48" t="s">
        <v>180</v>
      </c>
      <c r="I64" s="35">
        <v>6</v>
      </c>
      <c r="K64" s="108"/>
      <c r="L64" s="108"/>
      <c r="M64" s="108"/>
    </row>
    <row r="65" spans="5:13" ht="28.7" x14ac:dyDescent="0.5">
      <c r="E65" s="33">
        <v>63</v>
      </c>
      <c r="F65" s="48" t="s">
        <v>32</v>
      </c>
      <c r="G65" s="3" t="s">
        <v>165</v>
      </c>
      <c r="H65" s="3" t="s">
        <v>164</v>
      </c>
      <c r="I65" s="35">
        <v>6</v>
      </c>
      <c r="K65" s="108"/>
      <c r="L65" s="108"/>
      <c r="M65" s="108"/>
    </row>
    <row r="66" spans="5:13" ht="28.7" x14ac:dyDescent="0.5">
      <c r="E66" s="33">
        <v>64</v>
      </c>
      <c r="F66" s="48" t="s">
        <v>32</v>
      </c>
      <c r="G66" s="3" t="s">
        <v>494</v>
      </c>
      <c r="H66" s="3" t="s">
        <v>493</v>
      </c>
      <c r="I66" s="35">
        <v>6</v>
      </c>
      <c r="K66" s="108"/>
      <c r="L66" s="108"/>
      <c r="M66" s="108"/>
    </row>
    <row r="67" spans="5:13" ht="28.7" x14ac:dyDescent="0.5">
      <c r="E67" s="33">
        <v>65</v>
      </c>
      <c r="F67" s="48" t="s">
        <v>32</v>
      </c>
      <c r="G67" s="48" t="s">
        <v>315</v>
      </c>
      <c r="H67" s="48" t="s">
        <v>314</v>
      </c>
      <c r="I67" s="35">
        <v>6</v>
      </c>
      <c r="K67" s="108"/>
      <c r="L67" s="108"/>
      <c r="M67" s="108"/>
    </row>
    <row r="68" spans="5:13" ht="28.7" x14ac:dyDescent="0.5">
      <c r="E68" s="33">
        <v>66</v>
      </c>
      <c r="F68" s="48" t="s">
        <v>32</v>
      </c>
      <c r="G68" s="48" t="s">
        <v>203</v>
      </c>
      <c r="H68" s="48" t="s">
        <v>202</v>
      </c>
      <c r="I68" s="35">
        <v>6</v>
      </c>
      <c r="K68" s="108"/>
      <c r="L68" s="108"/>
      <c r="M68" s="108"/>
    </row>
    <row r="69" spans="5:13" ht="28.7" x14ac:dyDescent="0.5">
      <c r="E69" s="33">
        <v>67</v>
      </c>
      <c r="F69" s="48" t="s">
        <v>32</v>
      </c>
      <c r="G69" s="48" t="s">
        <v>504</v>
      </c>
      <c r="H69" s="48" t="s">
        <v>503</v>
      </c>
      <c r="I69" s="35">
        <v>6</v>
      </c>
      <c r="K69" s="108"/>
      <c r="L69" s="108"/>
      <c r="M69" s="108"/>
    </row>
    <row r="70" spans="5:13" ht="28.7" x14ac:dyDescent="0.5">
      <c r="E70" s="33">
        <v>68</v>
      </c>
      <c r="F70" s="48" t="s">
        <v>32</v>
      </c>
      <c r="G70" s="48" t="s">
        <v>403</v>
      </c>
      <c r="H70" s="48" t="s">
        <v>402</v>
      </c>
      <c r="I70" s="35">
        <v>6</v>
      </c>
      <c r="K70" s="108"/>
      <c r="L70" s="108"/>
      <c r="M70" s="108"/>
    </row>
    <row r="71" spans="5:13" ht="28.7" x14ac:dyDescent="0.5">
      <c r="E71" s="33">
        <v>69</v>
      </c>
      <c r="F71" s="48" t="s">
        <v>32</v>
      </c>
      <c r="G71" s="48" t="s">
        <v>476</v>
      </c>
      <c r="H71" s="48" t="s">
        <v>475</v>
      </c>
      <c r="I71" s="35">
        <v>6</v>
      </c>
      <c r="K71" s="108"/>
      <c r="L71" s="108"/>
      <c r="M71" s="108"/>
    </row>
    <row r="72" spans="5:13" ht="15.7" x14ac:dyDescent="0.5">
      <c r="E72" s="33">
        <v>70</v>
      </c>
      <c r="F72" s="48" t="s">
        <v>32</v>
      </c>
      <c r="G72" s="3" t="s">
        <v>120</v>
      </c>
      <c r="H72" s="3" t="s">
        <v>119</v>
      </c>
      <c r="I72" s="35">
        <v>6</v>
      </c>
      <c r="K72" s="108"/>
      <c r="L72" s="108"/>
      <c r="M72" s="108"/>
    </row>
    <row r="73" spans="5:13" ht="28.7" x14ac:dyDescent="0.5">
      <c r="E73" s="33">
        <v>71</v>
      </c>
      <c r="F73" s="48" t="s">
        <v>32</v>
      </c>
      <c r="G73" s="3" t="s">
        <v>98</v>
      </c>
      <c r="H73" s="3" t="s">
        <v>97</v>
      </c>
      <c r="I73" s="35">
        <v>6</v>
      </c>
      <c r="K73" s="108"/>
      <c r="L73" s="108"/>
      <c r="M73" s="108"/>
    </row>
    <row r="74" spans="5:13" ht="28.7" x14ac:dyDescent="0.5">
      <c r="E74" s="33">
        <v>72</v>
      </c>
      <c r="F74" s="48" t="s">
        <v>32</v>
      </c>
      <c r="G74" s="48" t="s">
        <v>502</v>
      </c>
      <c r="H74" s="48" t="s">
        <v>501</v>
      </c>
      <c r="I74" s="35">
        <v>6</v>
      </c>
      <c r="K74" s="108"/>
      <c r="L74" s="108"/>
      <c r="M74" s="108"/>
    </row>
    <row r="75" spans="5:13" ht="28.7" x14ac:dyDescent="0.5">
      <c r="E75" s="33">
        <v>73</v>
      </c>
      <c r="F75" s="48" t="s">
        <v>32</v>
      </c>
      <c r="G75" s="48" t="s">
        <v>146</v>
      </c>
      <c r="H75" s="48" t="s">
        <v>145</v>
      </c>
      <c r="I75" s="35">
        <v>6</v>
      </c>
      <c r="K75" s="108"/>
      <c r="L75" s="108"/>
      <c r="M75" s="108"/>
    </row>
    <row r="76" spans="5:13" ht="28.7" x14ac:dyDescent="0.5">
      <c r="E76" s="33">
        <v>74</v>
      </c>
      <c r="F76" s="48" t="s">
        <v>32</v>
      </c>
      <c r="G76" s="48" t="s">
        <v>447</v>
      </c>
      <c r="H76" s="48" t="s">
        <v>446</v>
      </c>
      <c r="I76" s="35">
        <v>6</v>
      </c>
      <c r="K76" s="108"/>
      <c r="L76" s="108"/>
      <c r="M76" s="108"/>
    </row>
    <row r="77" spans="5:13" ht="28.7" x14ac:dyDescent="0.5">
      <c r="E77" s="33">
        <v>75</v>
      </c>
      <c r="F77" s="48" t="s">
        <v>32</v>
      </c>
      <c r="G77" s="3" t="s">
        <v>59</v>
      </c>
      <c r="H77" s="3" t="s">
        <v>58</v>
      </c>
      <c r="I77" s="35">
        <v>6</v>
      </c>
      <c r="K77" s="108"/>
      <c r="L77" s="108"/>
      <c r="M77" s="108"/>
    </row>
    <row r="78" spans="5:13" ht="28.7" x14ac:dyDescent="0.5">
      <c r="E78" s="33">
        <v>76</v>
      </c>
      <c r="F78" s="48" t="s">
        <v>32</v>
      </c>
      <c r="G78" s="48" t="s">
        <v>194</v>
      </c>
      <c r="H78" s="48" t="s">
        <v>193</v>
      </c>
      <c r="I78" s="35">
        <v>6</v>
      </c>
      <c r="K78" s="108"/>
      <c r="L78" s="108"/>
      <c r="M78" s="108"/>
    </row>
    <row r="79" spans="5:13" ht="28.7" x14ac:dyDescent="0.5">
      <c r="E79" s="33">
        <v>77</v>
      </c>
      <c r="F79" s="48" t="s">
        <v>32</v>
      </c>
      <c r="G79" s="48" t="s">
        <v>201</v>
      </c>
      <c r="H79" s="48" t="s">
        <v>200</v>
      </c>
      <c r="I79" s="35">
        <v>6</v>
      </c>
      <c r="K79" s="108"/>
      <c r="L79" s="108"/>
      <c r="M79" s="108"/>
    </row>
    <row r="80" spans="5:13" ht="28.7" x14ac:dyDescent="0.5">
      <c r="E80" s="33">
        <v>78</v>
      </c>
      <c r="F80" s="48" t="s">
        <v>32</v>
      </c>
      <c r="G80" s="48" t="s">
        <v>396</v>
      </c>
      <c r="H80" s="48" t="s">
        <v>395</v>
      </c>
      <c r="I80" s="35">
        <v>6</v>
      </c>
      <c r="K80" s="108"/>
      <c r="L80" s="108"/>
      <c r="M80" s="108"/>
    </row>
    <row r="81" spans="5:13" ht="28.7" x14ac:dyDescent="0.5">
      <c r="E81" s="33">
        <v>79</v>
      </c>
      <c r="F81" s="48" t="s">
        <v>32</v>
      </c>
      <c r="G81" s="48" t="s">
        <v>354</v>
      </c>
      <c r="H81" s="48" t="s">
        <v>353</v>
      </c>
      <c r="I81" s="35">
        <v>6</v>
      </c>
      <c r="K81" s="108"/>
      <c r="L81" s="108"/>
      <c r="M81" s="108"/>
    </row>
    <row r="82" spans="5:13" ht="28.7" x14ac:dyDescent="0.5">
      <c r="E82" s="33">
        <v>80</v>
      </c>
      <c r="F82" s="48" t="s">
        <v>32</v>
      </c>
      <c r="G82" s="48" t="s">
        <v>144</v>
      </c>
      <c r="H82" s="48" t="s">
        <v>143</v>
      </c>
      <c r="I82" s="35">
        <v>6</v>
      </c>
      <c r="K82" s="108"/>
      <c r="L82" s="108"/>
      <c r="M82" s="108"/>
    </row>
    <row r="83" spans="5:13" ht="15.7" x14ac:dyDescent="0.5">
      <c r="E83" s="33">
        <v>81</v>
      </c>
      <c r="F83" s="48" t="s">
        <v>32</v>
      </c>
      <c r="G83" s="3" t="s">
        <v>106</v>
      </c>
      <c r="H83" s="3" t="s">
        <v>105</v>
      </c>
      <c r="I83" s="35">
        <v>6</v>
      </c>
      <c r="K83" s="108"/>
      <c r="L83" s="108"/>
      <c r="M83" s="108"/>
    </row>
    <row r="84" spans="5:13" ht="15.7" x14ac:dyDescent="0.5">
      <c r="E84" s="33">
        <v>82</v>
      </c>
      <c r="F84" s="48" t="s">
        <v>32</v>
      </c>
      <c r="G84" s="48" t="s">
        <v>125</v>
      </c>
      <c r="H84" s="48" t="s">
        <v>126</v>
      </c>
      <c r="I84" s="35">
        <v>6</v>
      </c>
      <c r="K84" s="108"/>
      <c r="L84" s="108"/>
      <c r="M84" s="108"/>
    </row>
    <row r="85" spans="5:13" ht="28.7" x14ac:dyDescent="0.5">
      <c r="E85" s="33">
        <v>83</v>
      </c>
      <c r="F85" s="48" t="s">
        <v>32</v>
      </c>
      <c r="G85" s="48" t="s">
        <v>366</v>
      </c>
      <c r="H85" s="48" t="s">
        <v>365</v>
      </c>
      <c r="I85" s="35">
        <v>6</v>
      </c>
      <c r="K85" s="108"/>
      <c r="L85" s="108"/>
      <c r="M85" s="108"/>
    </row>
    <row r="86" spans="5:13" ht="28.7" x14ac:dyDescent="0.5">
      <c r="E86" s="33">
        <v>84</v>
      </c>
      <c r="F86" s="48" t="s">
        <v>32</v>
      </c>
      <c r="G86" s="48" t="s">
        <v>445</v>
      </c>
      <c r="H86" s="48" t="s">
        <v>444</v>
      </c>
      <c r="I86" s="35">
        <v>6</v>
      </c>
      <c r="K86" s="108"/>
      <c r="L86" s="108"/>
      <c r="M86" s="108"/>
    </row>
    <row r="87" spans="5:13" ht="28.7" x14ac:dyDescent="0.5">
      <c r="E87" s="33">
        <v>85</v>
      </c>
      <c r="F87" s="48" t="s">
        <v>32</v>
      </c>
      <c r="G87" s="48" t="s">
        <v>45</v>
      </c>
      <c r="H87" s="48" t="s">
        <v>44</v>
      </c>
      <c r="I87" s="35">
        <v>6</v>
      </c>
      <c r="K87" s="108"/>
      <c r="L87" s="108"/>
      <c r="M87" s="108"/>
    </row>
    <row r="88" spans="5:13" ht="28.7" x14ac:dyDescent="0.5">
      <c r="E88" s="33">
        <v>86</v>
      </c>
      <c r="F88" s="48" t="s">
        <v>32</v>
      </c>
      <c r="G88" s="3" t="s">
        <v>196</v>
      </c>
      <c r="H88" s="3" t="s">
        <v>195</v>
      </c>
      <c r="I88" s="35">
        <v>6</v>
      </c>
      <c r="K88" s="108"/>
      <c r="L88" s="108"/>
      <c r="M88" s="108"/>
    </row>
    <row r="89" spans="5:13" ht="28.7" x14ac:dyDescent="0.5">
      <c r="E89" s="33">
        <v>87</v>
      </c>
      <c r="F89" s="48" t="s">
        <v>32</v>
      </c>
      <c r="G89" s="48" t="s">
        <v>287</v>
      </c>
      <c r="H89" s="48" t="s">
        <v>286</v>
      </c>
      <c r="I89" s="35">
        <v>6</v>
      </c>
      <c r="K89" s="108"/>
      <c r="L89" s="108"/>
      <c r="M89" s="108"/>
    </row>
    <row r="90" spans="5:13" ht="28.7" x14ac:dyDescent="0.5">
      <c r="E90" s="33">
        <v>88</v>
      </c>
      <c r="F90" s="48" t="s">
        <v>32</v>
      </c>
      <c r="G90" s="48" t="s">
        <v>72</v>
      </c>
      <c r="H90" s="48" t="s">
        <v>73</v>
      </c>
      <c r="I90" s="35">
        <v>6</v>
      </c>
      <c r="K90" s="108"/>
      <c r="L90" s="108"/>
      <c r="M90" s="108"/>
    </row>
    <row r="91" spans="5:13" ht="43" x14ac:dyDescent="0.5">
      <c r="E91" s="33">
        <v>89</v>
      </c>
      <c r="F91" s="48" t="s">
        <v>32</v>
      </c>
      <c r="G91" s="48" t="s">
        <v>376</v>
      </c>
      <c r="H91" s="48" t="s">
        <v>375</v>
      </c>
      <c r="I91" s="35">
        <v>6</v>
      </c>
      <c r="K91" s="108"/>
      <c r="L91" s="108"/>
      <c r="M91" s="108"/>
    </row>
    <row r="92" spans="5:13" ht="28.7" x14ac:dyDescent="0.5">
      <c r="E92" s="33">
        <v>90</v>
      </c>
      <c r="F92" s="48" t="s">
        <v>32</v>
      </c>
      <c r="G92" s="48" t="s">
        <v>486</v>
      </c>
      <c r="H92" s="48" t="s">
        <v>485</v>
      </c>
      <c r="I92" s="35">
        <v>6</v>
      </c>
      <c r="K92" s="108"/>
      <c r="L92" s="108"/>
      <c r="M92" s="108"/>
    </row>
    <row r="93" spans="5:13" ht="28.7" x14ac:dyDescent="0.5">
      <c r="E93" s="33">
        <v>91</v>
      </c>
      <c r="F93" s="48" t="s">
        <v>32</v>
      </c>
      <c r="G93" s="3" t="s">
        <v>69</v>
      </c>
      <c r="H93" s="3" t="s">
        <v>70</v>
      </c>
      <c r="I93" s="35">
        <v>6</v>
      </c>
      <c r="K93" s="108"/>
      <c r="L93" s="108"/>
      <c r="M93" s="108"/>
    </row>
    <row r="94" spans="5:13" ht="28.7" x14ac:dyDescent="0.5">
      <c r="E94" s="33">
        <v>92</v>
      </c>
      <c r="F94" s="48" t="s">
        <v>32</v>
      </c>
      <c r="G94" s="48" t="s">
        <v>234</v>
      </c>
      <c r="H94" s="48" t="s">
        <v>233</v>
      </c>
      <c r="I94" s="35">
        <v>6</v>
      </c>
      <c r="K94" s="108"/>
      <c r="L94" s="108"/>
      <c r="M94" s="108"/>
    </row>
    <row r="95" spans="5:13" ht="43" x14ac:dyDescent="0.5">
      <c r="E95" s="33">
        <v>93</v>
      </c>
      <c r="F95" s="48" t="s">
        <v>32</v>
      </c>
      <c r="G95" s="48" t="s">
        <v>484</v>
      </c>
      <c r="H95" s="48" t="s">
        <v>483</v>
      </c>
      <c r="I95" s="35">
        <v>6</v>
      </c>
      <c r="K95" s="108"/>
      <c r="L95" s="108"/>
      <c r="M95" s="108"/>
    </row>
    <row r="96" spans="5:13" ht="43" x14ac:dyDescent="0.5">
      <c r="E96" s="33">
        <v>94</v>
      </c>
      <c r="F96" s="48" t="s">
        <v>32</v>
      </c>
      <c r="G96" s="48" t="s">
        <v>150</v>
      </c>
      <c r="H96" s="48" t="s">
        <v>149</v>
      </c>
      <c r="I96" s="35">
        <v>6</v>
      </c>
      <c r="K96" s="108"/>
      <c r="L96" s="108"/>
      <c r="M96" s="108"/>
    </row>
    <row r="97" spans="5:13" ht="28.7" x14ac:dyDescent="0.5">
      <c r="E97" s="33">
        <v>95</v>
      </c>
      <c r="F97" s="48" t="s">
        <v>32</v>
      </c>
      <c r="G97" s="48" t="s">
        <v>177</v>
      </c>
      <c r="H97" s="48" t="s">
        <v>176</v>
      </c>
      <c r="I97" s="35">
        <v>6</v>
      </c>
      <c r="K97" s="108"/>
      <c r="L97" s="108"/>
      <c r="M97" s="108"/>
    </row>
    <row r="98" spans="5:13" ht="43" x14ac:dyDescent="0.5">
      <c r="E98" s="33">
        <v>96</v>
      </c>
      <c r="F98" s="48" t="s">
        <v>32</v>
      </c>
      <c r="G98" s="48" t="s">
        <v>488</v>
      </c>
      <c r="H98" s="48" t="s">
        <v>487</v>
      </c>
      <c r="I98" s="35">
        <v>6</v>
      </c>
      <c r="K98" s="108"/>
      <c r="L98" s="108"/>
      <c r="M98" s="108"/>
    </row>
    <row r="99" spans="5:13" ht="28.7" x14ac:dyDescent="0.5">
      <c r="E99" s="33">
        <v>97</v>
      </c>
      <c r="F99" s="48" t="s">
        <v>32</v>
      </c>
      <c r="G99" s="48" t="s">
        <v>189</v>
      </c>
      <c r="H99" s="48" t="s">
        <v>190</v>
      </c>
      <c r="I99" s="35">
        <v>6</v>
      </c>
      <c r="K99" s="108"/>
      <c r="L99" s="108"/>
      <c r="M99" s="108"/>
    </row>
    <row r="100" spans="5:13" ht="43" x14ac:dyDescent="0.5">
      <c r="E100" s="33">
        <v>98</v>
      </c>
      <c r="F100" s="48" t="s">
        <v>32</v>
      </c>
      <c r="G100" s="48" t="s">
        <v>179</v>
      </c>
      <c r="H100" s="48" t="s">
        <v>178</v>
      </c>
      <c r="I100" s="35">
        <v>6</v>
      </c>
      <c r="K100" s="108"/>
      <c r="L100" s="108"/>
      <c r="M100" s="108"/>
    </row>
    <row r="101" spans="5:13" ht="57.35" x14ac:dyDescent="0.5">
      <c r="E101" s="33">
        <v>99</v>
      </c>
      <c r="F101" s="48" t="s">
        <v>32</v>
      </c>
      <c r="G101" s="48" t="s">
        <v>364</v>
      </c>
      <c r="H101" s="48" t="s">
        <v>363</v>
      </c>
      <c r="I101" s="35">
        <v>6</v>
      </c>
      <c r="K101" s="108"/>
      <c r="L101" s="108"/>
      <c r="M101" s="108"/>
    </row>
    <row r="102" spans="5:13" ht="28.7" x14ac:dyDescent="0.5">
      <c r="E102" s="33">
        <v>100</v>
      </c>
      <c r="F102" s="48" t="s">
        <v>32</v>
      </c>
      <c r="G102" s="48" t="s">
        <v>436</v>
      </c>
      <c r="H102" s="48" t="s">
        <v>435</v>
      </c>
      <c r="I102" s="35">
        <v>6</v>
      </c>
      <c r="K102" s="108"/>
      <c r="L102" s="108"/>
      <c r="M102" s="108"/>
    </row>
    <row r="103" spans="5:13" ht="28.7" x14ac:dyDescent="0.5">
      <c r="E103" s="33">
        <v>101</v>
      </c>
      <c r="F103" s="48" t="s">
        <v>32</v>
      </c>
      <c r="G103" s="48" t="s">
        <v>122</v>
      </c>
      <c r="H103" s="48" t="s">
        <v>121</v>
      </c>
      <c r="I103" s="35">
        <v>6</v>
      </c>
      <c r="K103" s="108"/>
      <c r="L103" s="108"/>
      <c r="M103" s="108"/>
    </row>
    <row r="104" spans="5:13" ht="43" x14ac:dyDescent="0.5">
      <c r="E104" s="33">
        <v>102</v>
      </c>
      <c r="F104" s="48" t="s">
        <v>32</v>
      </c>
      <c r="G104" s="48" t="s">
        <v>124</v>
      </c>
      <c r="H104" s="48" t="s">
        <v>123</v>
      </c>
      <c r="I104" s="35">
        <v>6</v>
      </c>
      <c r="K104" s="108"/>
      <c r="L104" s="108"/>
      <c r="M104" s="108"/>
    </row>
    <row r="105" spans="5:13" ht="15.7" x14ac:dyDescent="0.5">
      <c r="E105" s="33">
        <v>103</v>
      </c>
      <c r="F105" s="48" t="s">
        <v>32</v>
      </c>
      <c r="G105" s="3" t="s">
        <v>401</v>
      </c>
      <c r="H105" s="3" t="s">
        <v>404</v>
      </c>
      <c r="I105" s="35">
        <v>6</v>
      </c>
      <c r="K105" s="108"/>
      <c r="L105" s="108"/>
      <c r="M105" s="108"/>
    </row>
    <row r="106" spans="5:13" ht="15.7" x14ac:dyDescent="0.5">
      <c r="E106" s="33">
        <v>104</v>
      </c>
      <c r="F106" s="48" t="s">
        <v>32</v>
      </c>
      <c r="G106" s="48" t="s">
        <v>102</v>
      </c>
      <c r="H106" s="48" t="s">
        <v>101</v>
      </c>
      <c r="I106" s="35">
        <v>6</v>
      </c>
      <c r="K106" s="108"/>
      <c r="L106" s="108"/>
      <c r="M106" s="108"/>
    </row>
    <row r="107" spans="5:13" ht="28.7" x14ac:dyDescent="0.5">
      <c r="E107" s="33">
        <v>105</v>
      </c>
      <c r="F107" s="48" t="s">
        <v>32</v>
      </c>
      <c r="G107" s="48" t="s">
        <v>492</v>
      </c>
      <c r="H107" s="48" t="s">
        <v>491</v>
      </c>
      <c r="I107" s="35">
        <v>6</v>
      </c>
      <c r="K107" s="108"/>
      <c r="L107" s="108"/>
      <c r="M107" s="108"/>
    </row>
    <row r="108" spans="5:13" ht="28.7" x14ac:dyDescent="0.5">
      <c r="E108" s="33">
        <v>106</v>
      </c>
      <c r="F108" s="48" t="s">
        <v>32</v>
      </c>
      <c r="G108" s="48" t="s">
        <v>340</v>
      </c>
      <c r="H108" s="48" t="s">
        <v>339</v>
      </c>
      <c r="I108" s="35">
        <v>6</v>
      </c>
      <c r="K108" s="108"/>
      <c r="L108" s="108"/>
      <c r="M108" s="108"/>
    </row>
    <row r="109" spans="5:13" ht="15.7" x14ac:dyDescent="0.5">
      <c r="E109" s="33">
        <v>107</v>
      </c>
      <c r="F109" s="48" t="s">
        <v>32</v>
      </c>
      <c r="G109" s="48" t="s">
        <v>507</v>
      </c>
      <c r="H109" s="48" t="s">
        <v>506</v>
      </c>
      <c r="I109" s="35">
        <v>6</v>
      </c>
      <c r="K109" s="108"/>
      <c r="L109" s="108"/>
      <c r="M109" s="108"/>
    </row>
    <row r="110" spans="5:13" ht="28.7" x14ac:dyDescent="0.5">
      <c r="E110" s="33">
        <v>108</v>
      </c>
      <c r="F110" s="48" t="s">
        <v>32</v>
      </c>
      <c r="G110" s="3" t="s">
        <v>184</v>
      </c>
      <c r="H110" s="3" t="s">
        <v>183</v>
      </c>
      <c r="I110" s="35">
        <v>6</v>
      </c>
      <c r="K110" s="108"/>
      <c r="L110" s="108"/>
      <c r="M110" s="108"/>
    </row>
    <row r="111" spans="5:13" ht="43" x14ac:dyDescent="0.5">
      <c r="E111" s="33">
        <v>109</v>
      </c>
      <c r="F111" s="48" t="s">
        <v>32</v>
      </c>
      <c r="G111" s="48" t="s">
        <v>57</v>
      </c>
      <c r="H111" s="48" t="s">
        <v>56</v>
      </c>
      <c r="I111" s="35">
        <v>6</v>
      </c>
      <c r="K111" s="108"/>
      <c r="L111" s="108"/>
      <c r="M111" s="108"/>
    </row>
    <row r="112" spans="5:13" ht="28.7" x14ac:dyDescent="0.5">
      <c r="E112" s="33">
        <v>110</v>
      </c>
      <c r="F112" s="48" t="s">
        <v>32</v>
      </c>
      <c r="G112" s="48" t="s">
        <v>222</v>
      </c>
      <c r="H112" s="48" t="s">
        <v>221</v>
      </c>
      <c r="I112" s="35">
        <v>6</v>
      </c>
      <c r="K112" s="108"/>
      <c r="L112" s="108"/>
      <c r="M112" s="108"/>
    </row>
    <row r="113" spans="5:13" ht="15.7" x14ac:dyDescent="0.5">
      <c r="E113" s="33">
        <v>111</v>
      </c>
      <c r="F113" s="48" t="s">
        <v>32</v>
      </c>
      <c r="G113" s="3" t="s">
        <v>338</v>
      </c>
      <c r="H113" s="3" t="s">
        <v>337</v>
      </c>
      <c r="I113" s="35">
        <v>6</v>
      </c>
      <c r="K113" s="108"/>
      <c r="L113" s="108"/>
      <c r="M113" s="108"/>
    </row>
    <row r="114" spans="5:13" ht="15.7" x14ac:dyDescent="0.5">
      <c r="E114" s="33">
        <v>112</v>
      </c>
      <c r="F114" s="48" t="s">
        <v>250</v>
      </c>
      <c r="G114" s="48" t="s">
        <v>247</v>
      </c>
      <c r="H114" s="48" t="s">
        <v>246</v>
      </c>
      <c r="I114" s="35">
        <v>6</v>
      </c>
      <c r="K114" s="108"/>
      <c r="L114" s="108"/>
      <c r="M114" s="108"/>
    </row>
    <row r="115" spans="5:13" ht="28.7" x14ac:dyDescent="0.5">
      <c r="E115" s="33">
        <v>113</v>
      </c>
      <c r="F115" s="48" t="s">
        <v>32</v>
      </c>
      <c r="G115" s="48" t="s">
        <v>280</v>
      </c>
      <c r="H115" s="48" t="s">
        <v>279</v>
      </c>
      <c r="I115" s="35">
        <v>6</v>
      </c>
      <c r="K115" s="108"/>
      <c r="L115" s="108"/>
      <c r="M115" s="108"/>
    </row>
    <row r="116" spans="5:13" ht="28.7" x14ac:dyDescent="0.5">
      <c r="E116" s="33">
        <v>114</v>
      </c>
      <c r="F116" s="48" t="s">
        <v>32</v>
      </c>
      <c r="G116" s="48" t="s">
        <v>361</v>
      </c>
      <c r="H116" s="48" t="s">
        <v>369</v>
      </c>
      <c r="I116" s="35">
        <v>6</v>
      </c>
      <c r="K116" s="108"/>
      <c r="L116" s="108"/>
      <c r="M116" s="108"/>
    </row>
    <row r="117" spans="5:13" ht="28.7" x14ac:dyDescent="0.5">
      <c r="E117" s="33">
        <v>115</v>
      </c>
      <c r="F117" s="48" t="s">
        <v>32</v>
      </c>
      <c r="G117" s="48" t="s">
        <v>459</v>
      </c>
      <c r="H117" s="48" t="s">
        <v>458</v>
      </c>
      <c r="I117" s="35">
        <v>6</v>
      </c>
      <c r="K117" s="108"/>
      <c r="L117" s="108"/>
      <c r="M117" s="108"/>
    </row>
    <row r="118" spans="5:13" ht="28.7" x14ac:dyDescent="0.5">
      <c r="E118" s="33">
        <v>116</v>
      </c>
      <c r="F118" s="48" t="s">
        <v>32</v>
      </c>
      <c r="G118" s="3" t="s">
        <v>409</v>
      </c>
      <c r="H118" s="3" t="s">
        <v>408</v>
      </c>
      <c r="I118" s="35">
        <v>6</v>
      </c>
      <c r="K118" s="108"/>
      <c r="L118" s="108"/>
      <c r="M118" s="108"/>
    </row>
    <row r="119" spans="5:13" ht="43" x14ac:dyDescent="0.5">
      <c r="E119" s="33">
        <v>117</v>
      </c>
      <c r="F119" s="48" t="s">
        <v>32</v>
      </c>
      <c r="G119" s="48" t="s">
        <v>275</v>
      </c>
      <c r="H119" s="48" t="s">
        <v>276</v>
      </c>
      <c r="I119" s="35">
        <v>6</v>
      </c>
      <c r="K119" s="108"/>
      <c r="L119" s="108"/>
      <c r="M119" s="108"/>
    </row>
    <row r="120" spans="5:13" ht="28.7" x14ac:dyDescent="0.5">
      <c r="E120" s="33">
        <v>118</v>
      </c>
      <c r="F120" s="48" t="s">
        <v>32</v>
      </c>
      <c r="G120" s="48" t="s">
        <v>224</v>
      </c>
      <c r="H120" s="48" t="s">
        <v>223</v>
      </c>
      <c r="I120" s="35">
        <v>6</v>
      </c>
      <c r="K120" s="108"/>
      <c r="L120" s="108"/>
      <c r="M120" s="108"/>
    </row>
    <row r="121" spans="5:13" ht="15.7" x14ac:dyDescent="0.5">
      <c r="E121" s="33">
        <v>119</v>
      </c>
      <c r="F121" s="48" t="s">
        <v>32</v>
      </c>
      <c r="G121" s="48" t="s">
        <v>53</v>
      </c>
      <c r="H121" s="48" t="s">
        <v>52</v>
      </c>
      <c r="I121" s="35">
        <v>6</v>
      </c>
      <c r="K121" s="108"/>
      <c r="L121" s="108"/>
      <c r="M121" s="108"/>
    </row>
    <row r="122" spans="5:13" ht="28.7" x14ac:dyDescent="0.5">
      <c r="E122" s="33">
        <v>120</v>
      </c>
      <c r="F122" s="48" t="s">
        <v>32</v>
      </c>
      <c r="G122" s="48" t="s">
        <v>43</v>
      </c>
      <c r="H122" s="48" t="s">
        <v>42</v>
      </c>
      <c r="I122" s="35">
        <v>6</v>
      </c>
      <c r="K122" s="108"/>
      <c r="L122" s="108"/>
      <c r="M122" s="108"/>
    </row>
    <row r="123" spans="5:13" ht="43" x14ac:dyDescent="0.5">
      <c r="E123" s="33">
        <v>121</v>
      </c>
      <c r="F123" s="48" t="s">
        <v>32</v>
      </c>
      <c r="G123" s="48" t="s">
        <v>41</v>
      </c>
      <c r="H123" s="48" t="s">
        <v>40</v>
      </c>
      <c r="I123" s="35">
        <v>6</v>
      </c>
      <c r="K123" s="108"/>
      <c r="L123" s="108"/>
      <c r="M123" s="108"/>
    </row>
    <row r="124" spans="5:13" ht="28.7" x14ac:dyDescent="0.5">
      <c r="E124" s="33">
        <v>122</v>
      </c>
      <c r="F124" s="48" t="s">
        <v>32</v>
      </c>
      <c r="G124" s="48" t="s">
        <v>386</v>
      </c>
      <c r="H124" s="48" t="s">
        <v>385</v>
      </c>
      <c r="I124" s="35">
        <v>6</v>
      </c>
      <c r="K124" s="108"/>
      <c r="L124" s="108"/>
      <c r="M124" s="108"/>
    </row>
    <row r="125" spans="5:13" ht="15.7" x14ac:dyDescent="0.5">
      <c r="E125" s="33">
        <v>123</v>
      </c>
      <c r="F125" s="48" t="s">
        <v>32</v>
      </c>
      <c r="G125" s="48" t="s">
        <v>157</v>
      </c>
      <c r="H125" s="48" t="s">
        <v>281</v>
      </c>
      <c r="I125" s="35">
        <v>6</v>
      </c>
      <c r="K125" s="108"/>
      <c r="L125" s="108"/>
      <c r="M125" s="108"/>
    </row>
    <row r="126" spans="5:13" ht="15.7" x14ac:dyDescent="0.5">
      <c r="E126" s="33">
        <v>124</v>
      </c>
      <c r="F126" s="48" t="s">
        <v>32</v>
      </c>
      <c r="G126" s="48" t="s">
        <v>371</v>
      </c>
      <c r="H126" s="48" t="s">
        <v>370</v>
      </c>
      <c r="I126" s="35">
        <v>6</v>
      </c>
      <c r="K126" s="108"/>
      <c r="L126" s="108"/>
      <c r="M126" s="108"/>
    </row>
    <row r="127" spans="5:13" ht="57.35" x14ac:dyDescent="0.5">
      <c r="E127" s="33">
        <v>125</v>
      </c>
      <c r="F127" s="48" t="s">
        <v>32</v>
      </c>
      <c r="G127" s="48" t="s">
        <v>100</v>
      </c>
      <c r="H127" s="48" t="s">
        <v>99</v>
      </c>
      <c r="I127" s="35">
        <v>6</v>
      </c>
      <c r="K127" s="108"/>
      <c r="L127" s="108"/>
      <c r="M127" s="108"/>
    </row>
    <row r="128" spans="5:13" ht="28.7" x14ac:dyDescent="0.5">
      <c r="E128" s="33">
        <v>126</v>
      </c>
      <c r="F128" s="48" t="s">
        <v>32</v>
      </c>
      <c r="G128" s="48" t="s">
        <v>323</v>
      </c>
      <c r="H128" s="48" t="s">
        <v>322</v>
      </c>
      <c r="I128" s="35">
        <v>6</v>
      </c>
      <c r="K128" s="108"/>
      <c r="L128" s="108"/>
      <c r="M128" s="108"/>
    </row>
    <row r="129" spans="5:13" ht="43" x14ac:dyDescent="0.5">
      <c r="E129" s="33">
        <v>127</v>
      </c>
      <c r="F129" s="48" t="s">
        <v>32</v>
      </c>
      <c r="G129" s="48" t="s">
        <v>482</v>
      </c>
      <c r="H129" s="48" t="s">
        <v>481</v>
      </c>
      <c r="I129" s="35">
        <v>6</v>
      </c>
      <c r="K129" s="108"/>
      <c r="L129" s="108"/>
      <c r="M129" s="108"/>
    </row>
    <row r="130" spans="5:13" ht="28.7" x14ac:dyDescent="0.5">
      <c r="E130" s="33">
        <v>128</v>
      </c>
      <c r="F130" s="48" t="s">
        <v>32</v>
      </c>
      <c r="G130" s="48" t="s">
        <v>384</v>
      </c>
      <c r="H130" s="48" t="s">
        <v>383</v>
      </c>
      <c r="I130" s="35">
        <v>6</v>
      </c>
      <c r="K130" s="108"/>
      <c r="L130" s="108"/>
      <c r="M130" s="108"/>
    </row>
    <row r="131" spans="5:13" ht="28.7" x14ac:dyDescent="0.5">
      <c r="E131" s="33">
        <v>129</v>
      </c>
      <c r="F131" s="48" t="s">
        <v>32</v>
      </c>
      <c r="G131" s="48" t="s">
        <v>413</v>
      </c>
      <c r="H131" s="48" t="s">
        <v>412</v>
      </c>
      <c r="I131" s="35">
        <v>6</v>
      </c>
      <c r="K131" s="108"/>
      <c r="L131" s="108"/>
      <c r="M131" s="108"/>
    </row>
    <row r="132" spans="5:13" ht="28.7" x14ac:dyDescent="0.5">
      <c r="E132" s="33">
        <v>130</v>
      </c>
      <c r="F132" s="48" t="s">
        <v>32</v>
      </c>
      <c r="G132" s="48" t="s">
        <v>185</v>
      </c>
      <c r="H132" s="48" t="s">
        <v>186</v>
      </c>
      <c r="I132" s="35">
        <v>6</v>
      </c>
      <c r="K132" s="108"/>
      <c r="L132" s="108"/>
      <c r="M132" s="108"/>
    </row>
    <row r="133" spans="5:13" ht="28.7" x14ac:dyDescent="0.5">
      <c r="E133" s="33">
        <v>131</v>
      </c>
      <c r="F133" s="48" t="s">
        <v>32</v>
      </c>
      <c r="G133" s="48" t="s">
        <v>325</v>
      </c>
      <c r="H133" s="48" t="s">
        <v>324</v>
      </c>
      <c r="I133" s="35">
        <v>6</v>
      </c>
      <c r="K133" s="108"/>
      <c r="L133" s="108"/>
      <c r="M133" s="108"/>
    </row>
    <row r="134" spans="5:13" ht="28.7" x14ac:dyDescent="0.5">
      <c r="E134" s="33">
        <v>132</v>
      </c>
      <c r="F134" s="48" t="s">
        <v>32</v>
      </c>
      <c r="G134" s="48" t="s">
        <v>188</v>
      </c>
      <c r="H134" s="48" t="s">
        <v>187</v>
      </c>
      <c r="I134" s="35">
        <v>6</v>
      </c>
      <c r="K134" s="108"/>
      <c r="L134" s="108"/>
      <c r="M134" s="108"/>
    </row>
    <row r="135" spans="5:13" ht="28.7" x14ac:dyDescent="0.5">
      <c r="E135" s="33">
        <v>133</v>
      </c>
      <c r="F135" s="48" t="s">
        <v>32</v>
      </c>
      <c r="G135" s="48" t="s">
        <v>360</v>
      </c>
      <c r="H135" s="48" t="s">
        <v>514</v>
      </c>
      <c r="I135" s="35">
        <v>6</v>
      </c>
      <c r="K135" s="108"/>
      <c r="L135" s="108"/>
      <c r="M135" s="108"/>
    </row>
    <row r="136" spans="5:13" ht="57.35" x14ac:dyDescent="0.5">
      <c r="E136" s="33">
        <v>134</v>
      </c>
      <c r="F136" s="48" t="s">
        <v>32</v>
      </c>
      <c r="G136" s="48" t="s">
        <v>427</v>
      </c>
      <c r="H136" s="48" t="s">
        <v>426</v>
      </c>
      <c r="I136" s="35">
        <v>6</v>
      </c>
      <c r="K136" s="108"/>
      <c r="L136" s="108"/>
      <c r="M136" s="108"/>
    </row>
    <row r="137" spans="5:13" ht="28.7" x14ac:dyDescent="0.5">
      <c r="E137" s="33">
        <v>135</v>
      </c>
      <c r="F137" s="48" t="s">
        <v>250</v>
      </c>
      <c r="G137" s="48" t="s">
        <v>255</v>
      </c>
      <c r="H137" s="48" t="s">
        <v>254</v>
      </c>
      <c r="I137" s="35">
        <v>6</v>
      </c>
      <c r="K137" s="108"/>
      <c r="L137" s="108"/>
      <c r="M137" s="108"/>
    </row>
    <row r="138" spans="5:13" ht="28.7" x14ac:dyDescent="0.5">
      <c r="E138" s="33">
        <v>136</v>
      </c>
      <c r="F138" s="48" t="s">
        <v>32</v>
      </c>
      <c r="G138" s="48" t="s">
        <v>415</v>
      </c>
      <c r="H138" s="48" t="s">
        <v>414</v>
      </c>
      <c r="I138" s="35">
        <v>6</v>
      </c>
      <c r="K138" s="108"/>
      <c r="L138" s="108"/>
      <c r="M138" s="108"/>
    </row>
    <row r="139" spans="5:13" ht="28.7" x14ac:dyDescent="0.5">
      <c r="E139" s="33">
        <v>137</v>
      </c>
      <c r="F139" s="48" t="s">
        <v>32</v>
      </c>
      <c r="G139" s="48" t="s">
        <v>508</v>
      </c>
      <c r="H139" s="48" t="s">
        <v>405</v>
      </c>
      <c r="I139" s="35">
        <v>6</v>
      </c>
      <c r="K139" s="108"/>
      <c r="L139" s="108"/>
      <c r="M139" s="108"/>
    </row>
    <row r="140" spans="5:13" ht="28.7" x14ac:dyDescent="0.5">
      <c r="E140" s="33">
        <v>138</v>
      </c>
      <c r="F140" s="48" t="s">
        <v>32</v>
      </c>
      <c r="G140" s="48" t="s">
        <v>33</v>
      </c>
      <c r="H140" s="48" t="s">
        <v>34</v>
      </c>
      <c r="I140" s="35">
        <v>6</v>
      </c>
      <c r="K140" s="108"/>
      <c r="L140" s="108"/>
      <c r="M140" s="108"/>
    </row>
    <row r="141" spans="5:13" ht="28.7" x14ac:dyDescent="0.5">
      <c r="E141" s="33">
        <v>139</v>
      </c>
      <c r="F141" s="48" t="s">
        <v>32</v>
      </c>
      <c r="G141" s="48" t="s">
        <v>209</v>
      </c>
      <c r="H141" s="48" t="s">
        <v>208</v>
      </c>
      <c r="I141" s="35">
        <v>6</v>
      </c>
      <c r="K141" s="108"/>
      <c r="L141" s="108"/>
      <c r="M141" s="108"/>
    </row>
    <row r="142" spans="5:13" ht="15.7" x14ac:dyDescent="0.5">
      <c r="E142" s="33">
        <v>140</v>
      </c>
      <c r="F142" s="48" t="s">
        <v>32</v>
      </c>
      <c r="G142" s="48" t="s">
        <v>427</v>
      </c>
      <c r="H142" s="48" t="s">
        <v>428</v>
      </c>
      <c r="I142" s="35">
        <v>6</v>
      </c>
      <c r="K142" s="108"/>
      <c r="L142" s="108"/>
      <c r="M142" s="108"/>
    </row>
    <row r="143" spans="5:13" ht="28.7" x14ac:dyDescent="0.5">
      <c r="E143" s="33">
        <v>141</v>
      </c>
      <c r="F143" s="48" t="s">
        <v>32</v>
      </c>
      <c r="G143" s="48" t="s">
        <v>472</v>
      </c>
      <c r="H143" s="48" t="s">
        <v>471</v>
      </c>
      <c r="I143" s="35">
        <v>6</v>
      </c>
      <c r="K143" s="108"/>
      <c r="L143" s="108"/>
      <c r="M143" s="108"/>
    </row>
    <row r="144" spans="5:13" ht="28.7" x14ac:dyDescent="0.5">
      <c r="E144" s="33">
        <v>142</v>
      </c>
      <c r="F144" s="48" t="s">
        <v>32</v>
      </c>
      <c r="G144" s="48" t="s">
        <v>27</v>
      </c>
      <c r="H144" s="48" t="s">
        <v>26</v>
      </c>
      <c r="I144" s="35">
        <v>6</v>
      </c>
      <c r="K144" s="108"/>
      <c r="L144" s="108"/>
      <c r="M144" s="108"/>
    </row>
    <row r="145" spans="5:13" ht="43" x14ac:dyDescent="0.5">
      <c r="E145" s="33">
        <v>143</v>
      </c>
      <c r="F145" s="48" t="s">
        <v>32</v>
      </c>
      <c r="G145" s="48" t="s">
        <v>152</v>
      </c>
      <c r="H145" s="48" t="s">
        <v>151</v>
      </c>
      <c r="I145" s="35">
        <v>6</v>
      </c>
      <c r="K145" s="108"/>
      <c r="L145" s="108"/>
      <c r="M145" s="108"/>
    </row>
    <row r="146" spans="5:13" ht="15.7" x14ac:dyDescent="0.5">
      <c r="E146" s="33">
        <v>144</v>
      </c>
      <c r="F146" s="48" t="s">
        <v>32</v>
      </c>
      <c r="G146" s="48" t="s">
        <v>407</v>
      </c>
      <c r="H146" s="48" t="s">
        <v>406</v>
      </c>
      <c r="I146" s="35">
        <v>6</v>
      </c>
      <c r="K146" s="108"/>
      <c r="L146" s="108"/>
      <c r="M146" s="108"/>
    </row>
    <row r="147" spans="5:13" ht="28.7" x14ac:dyDescent="0.5">
      <c r="E147" s="33">
        <v>145</v>
      </c>
      <c r="F147" s="48" t="s">
        <v>32</v>
      </c>
      <c r="G147" s="48" t="s">
        <v>38</v>
      </c>
      <c r="H147" s="48" t="s">
        <v>39</v>
      </c>
      <c r="I147" s="35">
        <v>6</v>
      </c>
      <c r="K147" s="108"/>
      <c r="L147" s="108"/>
      <c r="M147" s="108"/>
    </row>
    <row r="148" spans="5:13" ht="15.7" x14ac:dyDescent="0.5">
      <c r="E148" s="33">
        <v>146</v>
      </c>
      <c r="F148" s="48" t="s">
        <v>32</v>
      </c>
      <c r="G148" s="48" t="s">
        <v>79</v>
      </c>
      <c r="H148" s="48" t="s">
        <v>78</v>
      </c>
      <c r="I148" s="35">
        <v>6</v>
      </c>
      <c r="K148" s="108"/>
      <c r="L148" s="108"/>
      <c r="M148" s="108"/>
    </row>
    <row r="149" spans="5:13" ht="15.7" x14ac:dyDescent="0.5">
      <c r="E149" s="33">
        <v>147</v>
      </c>
      <c r="F149" s="48" t="s">
        <v>32</v>
      </c>
      <c r="G149" s="48" t="s">
        <v>478</v>
      </c>
      <c r="H149" s="48" t="s">
        <v>477</v>
      </c>
      <c r="I149" s="35">
        <v>6</v>
      </c>
      <c r="K149" s="108"/>
      <c r="L149" s="108"/>
      <c r="M149" s="108"/>
    </row>
    <row r="150" spans="5:13" ht="28.7" x14ac:dyDescent="0.5">
      <c r="E150" s="33">
        <v>148</v>
      </c>
      <c r="F150" s="48" t="s">
        <v>32</v>
      </c>
      <c r="G150" s="48" t="s">
        <v>108</v>
      </c>
      <c r="H150" s="48" t="s">
        <v>107</v>
      </c>
      <c r="I150" s="35">
        <v>6</v>
      </c>
      <c r="K150" s="108"/>
      <c r="L150" s="108"/>
      <c r="M150" s="108"/>
    </row>
    <row r="151" spans="5:13" ht="15.7" x14ac:dyDescent="0.5">
      <c r="E151" s="33">
        <v>149</v>
      </c>
      <c r="F151" s="48" t="s">
        <v>250</v>
      </c>
      <c r="G151" s="48">
        <v>2007</v>
      </c>
      <c r="H151" s="48" t="s">
        <v>245</v>
      </c>
      <c r="I151" s="35">
        <v>6</v>
      </c>
      <c r="K151" s="108"/>
      <c r="L151" s="108"/>
      <c r="M151" s="108"/>
    </row>
    <row r="152" spans="5:13" ht="28.7" x14ac:dyDescent="0.5">
      <c r="E152" s="33">
        <v>150</v>
      </c>
      <c r="F152" s="48" t="s">
        <v>32</v>
      </c>
      <c r="G152" s="48" t="s">
        <v>63</v>
      </c>
      <c r="H152" s="48" t="s">
        <v>111</v>
      </c>
      <c r="I152" s="35">
        <v>6</v>
      </c>
      <c r="K152" s="108"/>
      <c r="L152" s="108"/>
      <c r="M152" s="108"/>
    </row>
    <row r="153" spans="5:13" ht="28.7" x14ac:dyDescent="0.5">
      <c r="E153" s="33">
        <v>151</v>
      </c>
      <c r="F153" s="48" t="s">
        <v>32</v>
      </c>
      <c r="G153" s="48" t="s">
        <v>116</v>
      </c>
      <c r="H153" s="48" t="s">
        <v>115</v>
      </c>
      <c r="I153" s="35">
        <v>6</v>
      </c>
      <c r="K153" s="108"/>
      <c r="L153" s="108"/>
      <c r="M153" s="108"/>
    </row>
    <row r="154" spans="5:13" ht="43" x14ac:dyDescent="0.5">
      <c r="E154" s="33">
        <v>152</v>
      </c>
      <c r="F154" s="48" t="s">
        <v>32</v>
      </c>
      <c r="G154" s="48" t="s">
        <v>198</v>
      </c>
      <c r="H154" s="48" t="s">
        <v>199</v>
      </c>
      <c r="I154" s="35">
        <v>6</v>
      </c>
      <c r="K154" s="108"/>
      <c r="L154" s="108"/>
      <c r="M154" s="108"/>
    </row>
    <row r="155" spans="5:13" ht="28.7" x14ac:dyDescent="0.5">
      <c r="E155" s="33">
        <v>153</v>
      </c>
      <c r="F155" s="48" t="s">
        <v>32</v>
      </c>
      <c r="G155" s="48" t="s">
        <v>352</v>
      </c>
      <c r="H155" s="48" t="s">
        <v>355</v>
      </c>
      <c r="I155" s="35">
        <v>6</v>
      </c>
      <c r="K155" s="108"/>
      <c r="L155" s="108"/>
      <c r="M155" s="108"/>
    </row>
    <row r="156" spans="5:13" ht="28.7" x14ac:dyDescent="0.5">
      <c r="E156" s="33">
        <v>154</v>
      </c>
      <c r="F156" s="48" t="s">
        <v>32</v>
      </c>
      <c r="G156" s="48" t="s">
        <v>396</v>
      </c>
      <c r="H156" s="48" t="s">
        <v>397</v>
      </c>
      <c r="I156" s="35">
        <v>6</v>
      </c>
      <c r="K156" s="108"/>
      <c r="L156" s="108"/>
      <c r="M156" s="108"/>
    </row>
    <row r="157" spans="5:13" ht="28.7" x14ac:dyDescent="0.5">
      <c r="E157" s="33">
        <v>155</v>
      </c>
      <c r="F157" s="48" t="s">
        <v>32</v>
      </c>
      <c r="G157" s="48" t="s">
        <v>307</v>
      </c>
      <c r="H157" s="48" t="s">
        <v>306</v>
      </c>
      <c r="I157" s="35">
        <v>6</v>
      </c>
      <c r="K157" s="108"/>
      <c r="L157" s="108"/>
      <c r="M157" s="108"/>
    </row>
    <row r="158" spans="5:13" ht="43" x14ac:dyDescent="0.5">
      <c r="E158" s="33">
        <v>156</v>
      </c>
      <c r="F158" s="48" t="s">
        <v>32</v>
      </c>
      <c r="G158" s="48" t="s">
        <v>85</v>
      </c>
      <c r="H158" s="48" t="s">
        <v>84</v>
      </c>
      <c r="I158" s="35">
        <v>6</v>
      </c>
      <c r="K158" s="108"/>
      <c r="L158" s="108"/>
      <c r="M158" s="108"/>
    </row>
    <row r="159" spans="5:13" ht="28.7" x14ac:dyDescent="0.5">
      <c r="E159" s="33">
        <v>157</v>
      </c>
      <c r="F159" s="48" t="s">
        <v>32</v>
      </c>
      <c r="G159" s="48" t="s">
        <v>329</v>
      </c>
      <c r="H159" s="48" t="s">
        <v>328</v>
      </c>
      <c r="I159" s="35">
        <v>6</v>
      </c>
      <c r="K159" s="108"/>
      <c r="L159" s="108"/>
      <c r="M159" s="108"/>
    </row>
    <row r="160" spans="5:13" ht="28.7" x14ac:dyDescent="0.5">
      <c r="E160" s="33">
        <v>158</v>
      </c>
      <c r="F160" s="48" t="s">
        <v>32</v>
      </c>
      <c r="G160" s="48" t="s">
        <v>336</v>
      </c>
      <c r="H160" s="48" t="s">
        <v>335</v>
      </c>
      <c r="I160" s="35">
        <v>6</v>
      </c>
      <c r="K160" s="108"/>
      <c r="L160" s="108"/>
      <c r="M160" s="108"/>
    </row>
    <row r="161" spans="5:13" ht="28.7" x14ac:dyDescent="0.5">
      <c r="E161" s="33">
        <v>159</v>
      </c>
      <c r="F161" s="48" t="s">
        <v>32</v>
      </c>
      <c r="G161" s="48" t="s">
        <v>72</v>
      </c>
      <c r="H161" s="48" t="s">
        <v>71</v>
      </c>
      <c r="I161" s="35">
        <v>6</v>
      </c>
      <c r="K161" s="108"/>
      <c r="L161" s="108"/>
      <c r="M161" s="108"/>
    </row>
    <row r="162" spans="5:13" ht="28.7" x14ac:dyDescent="0.5">
      <c r="E162" s="33">
        <v>160</v>
      </c>
      <c r="F162" s="48" t="s">
        <v>32</v>
      </c>
      <c r="G162" s="48" t="s">
        <v>288</v>
      </c>
      <c r="H162" s="48" t="s">
        <v>289</v>
      </c>
      <c r="I162" s="35">
        <v>6</v>
      </c>
      <c r="K162" s="108"/>
      <c r="L162" s="108"/>
      <c r="M162" s="108"/>
    </row>
    <row r="163" spans="5:13" ht="57.35" x14ac:dyDescent="0.5">
      <c r="E163" s="33">
        <v>161</v>
      </c>
      <c r="F163" s="48" t="s">
        <v>32</v>
      </c>
      <c r="G163" s="48" t="s">
        <v>226</v>
      </c>
      <c r="H163" s="48" t="s">
        <v>225</v>
      </c>
      <c r="I163" s="35">
        <v>6</v>
      </c>
      <c r="K163" s="108"/>
      <c r="L163" s="108"/>
      <c r="M163" s="108"/>
    </row>
    <row r="164" spans="5:13" ht="15.7" x14ac:dyDescent="0.5">
      <c r="E164" s="33">
        <v>162</v>
      </c>
      <c r="F164" s="48" t="s">
        <v>32</v>
      </c>
      <c r="G164" s="48" t="s">
        <v>421</v>
      </c>
      <c r="H164" s="48" t="s">
        <v>420</v>
      </c>
      <c r="I164" s="35">
        <v>6</v>
      </c>
      <c r="K164" s="108"/>
      <c r="L164" s="108"/>
      <c r="M164" s="108"/>
    </row>
    <row r="165" spans="5:13" ht="28.7" x14ac:dyDescent="0.5">
      <c r="E165" s="33">
        <v>163</v>
      </c>
      <c r="F165" s="48" t="s">
        <v>32</v>
      </c>
      <c r="G165" s="48" t="s">
        <v>348</v>
      </c>
      <c r="H165" s="48" t="s">
        <v>347</v>
      </c>
      <c r="I165" s="35">
        <v>6</v>
      </c>
      <c r="K165" s="108"/>
      <c r="L165" s="108"/>
      <c r="M165" s="108"/>
    </row>
    <row r="166" spans="5:13" ht="43" x14ac:dyDescent="0.5">
      <c r="E166" s="33">
        <v>164</v>
      </c>
      <c r="F166" s="48" t="s">
        <v>32</v>
      </c>
      <c r="G166" s="48" t="s">
        <v>81</v>
      </c>
      <c r="H166" s="48" t="s">
        <v>80</v>
      </c>
      <c r="I166" s="35">
        <v>6</v>
      </c>
      <c r="K166" s="108"/>
      <c r="L166" s="108"/>
      <c r="M166" s="108"/>
    </row>
    <row r="167" spans="5:13" ht="28.7" x14ac:dyDescent="0.5">
      <c r="E167" s="33">
        <v>165</v>
      </c>
      <c r="F167" s="48" t="s">
        <v>250</v>
      </c>
      <c r="G167" s="48" t="s">
        <v>259</v>
      </c>
      <c r="H167" s="48" t="s">
        <v>258</v>
      </c>
      <c r="I167" s="35">
        <v>6</v>
      </c>
      <c r="K167" s="108"/>
      <c r="L167" s="108"/>
      <c r="M167" s="108"/>
    </row>
    <row r="168" spans="5:13" ht="57.35" x14ac:dyDescent="0.5">
      <c r="E168" s="33">
        <v>166</v>
      </c>
      <c r="F168" s="48" t="s">
        <v>32</v>
      </c>
      <c r="G168" s="48" t="s">
        <v>230</v>
      </c>
      <c r="H168" s="48" t="s">
        <v>229</v>
      </c>
      <c r="I168" s="35">
        <v>6</v>
      </c>
      <c r="K168" s="108"/>
      <c r="L168" s="108"/>
      <c r="M168" s="108"/>
    </row>
    <row r="169" spans="5:13" ht="28.7" x14ac:dyDescent="0.5">
      <c r="E169" s="33">
        <v>167</v>
      </c>
      <c r="F169" s="48" t="s">
        <v>32</v>
      </c>
      <c r="G169" s="48" t="s">
        <v>192</v>
      </c>
      <c r="H169" s="48" t="s">
        <v>191</v>
      </c>
      <c r="I169" s="35">
        <v>6</v>
      </c>
      <c r="K169" s="108"/>
      <c r="L169" s="108"/>
      <c r="M169" s="108"/>
    </row>
    <row r="170" spans="5:13" ht="43" x14ac:dyDescent="0.5">
      <c r="E170" s="33">
        <v>168</v>
      </c>
      <c r="F170" s="48" t="s">
        <v>32</v>
      </c>
      <c r="G170" s="48" t="s">
        <v>175</v>
      </c>
      <c r="H170" s="48" t="s">
        <v>174</v>
      </c>
      <c r="I170" s="35">
        <v>6</v>
      </c>
      <c r="K170" s="108"/>
      <c r="L170" s="108"/>
      <c r="M170" s="108"/>
    </row>
    <row r="171" spans="5:13" ht="28.7" x14ac:dyDescent="0.5">
      <c r="E171" s="33">
        <v>169</v>
      </c>
      <c r="F171" s="48" t="s">
        <v>32</v>
      </c>
      <c r="G171" s="48" t="s">
        <v>110</v>
      </c>
      <c r="H171" s="48" t="s">
        <v>109</v>
      </c>
      <c r="I171" s="35">
        <v>6</v>
      </c>
      <c r="K171" s="108"/>
      <c r="L171" s="108"/>
      <c r="M171" s="108"/>
    </row>
    <row r="172" spans="5:13" ht="43" x14ac:dyDescent="0.5">
      <c r="E172" s="33">
        <v>170</v>
      </c>
      <c r="F172" s="48" t="s">
        <v>32</v>
      </c>
      <c r="G172" s="48" t="s">
        <v>274</v>
      </c>
      <c r="H172" s="48" t="s">
        <v>273</v>
      </c>
      <c r="I172" s="35">
        <v>6</v>
      </c>
      <c r="K172" s="108"/>
      <c r="L172" s="108"/>
      <c r="M172" s="108"/>
    </row>
    <row r="173" spans="5:13" ht="28.7" x14ac:dyDescent="0.5">
      <c r="E173" s="33">
        <v>171</v>
      </c>
      <c r="F173" s="48" t="s">
        <v>32</v>
      </c>
      <c r="G173" s="3" t="s">
        <v>228</v>
      </c>
      <c r="H173" s="3" t="s">
        <v>227</v>
      </c>
      <c r="I173" s="35">
        <v>6</v>
      </c>
      <c r="K173" s="108"/>
      <c r="L173" s="108"/>
      <c r="M173" s="108"/>
    </row>
    <row r="174" spans="5:13" ht="28.7" x14ac:dyDescent="0.5">
      <c r="E174" s="33">
        <v>172</v>
      </c>
      <c r="F174" s="48" t="s">
        <v>32</v>
      </c>
      <c r="G174" s="48" t="s">
        <v>295</v>
      </c>
      <c r="H174" s="48" t="s">
        <v>294</v>
      </c>
      <c r="I174" s="35">
        <v>6</v>
      </c>
      <c r="K174" s="108"/>
      <c r="L174" s="108"/>
      <c r="M174" s="108"/>
    </row>
    <row r="175" spans="5:13" ht="15.7" x14ac:dyDescent="0.5">
      <c r="E175" s="33">
        <v>173</v>
      </c>
      <c r="F175" s="48" t="s">
        <v>32</v>
      </c>
      <c r="G175" s="48" t="s">
        <v>357</v>
      </c>
      <c r="H175" s="48" t="s">
        <v>356</v>
      </c>
      <c r="I175" s="35">
        <v>6</v>
      </c>
      <c r="K175" s="108"/>
      <c r="L175" s="108"/>
      <c r="M175" s="108"/>
    </row>
    <row r="176" spans="5:13" ht="15.7" x14ac:dyDescent="0.5">
      <c r="E176" s="33">
        <v>174</v>
      </c>
      <c r="F176" s="48" t="s">
        <v>32</v>
      </c>
      <c r="G176" s="48" t="s">
        <v>313</v>
      </c>
      <c r="H176" s="48" t="s">
        <v>312</v>
      </c>
      <c r="I176" s="35">
        <v>6</v>
      </c>
      <c r="K176" s="108"/>
      <c r="L176" s="108"/>
      <c r="M176" s="108"/>
    </row>
    <row r="177" spans="5:13" ht="28.7" x14ac:dyDescent="0.5">
      <c r="E177" s="33">
        <v>175</v>
      </c>
      <c r="F177" s="48" t="s">
        <v>32</v>
      </c>
      <c r="G177" s="48" t="s">
        <v>516</v>
      </c>
      <c r="H177" s="48" t="s">
        <v>86</v>
      </c>
      <c r="I177" s="35">
        <v>6</v>
      </c>
      <c r="K177" s="108"/>
      <c r="L177" s="108"/>
      <c r="M177" s="108"/>
    </row>
    <row r="178" spans="5:13" ht="43" x14ac:dyDescent="0.5">
      <c r="E178" s="33">
        <v>176</v>
      </c>
      <c r="F178" s="48" t="s">
        <v>32</v>
      </c>
      <c r="G178" s="48" t="s">
        <v>212</v>
      </c>
      <c r="H178" s="48" t="s">
        <v>211</v>
      </c>
      <c r="I178" s="35">
        <v>6</v>
      </c>
      <c r="K178" s="108"/>
      <c r="L178" s="108"/>
      <c r="M178" s="108"/>
    </row>
    <row r="179" spans="5:13" ht="15.7" x14ac:dyDescent="0.5">
      <c r="E179" s="33">
        <v>177</v>
      </c>
      <c r="F179" s="48" t="s">
        <v>32</v>
      </c>
      <c r="G179" s="48" t="s">
        <v>441</v>
      </c>
      <c r="H179" s="48" t="s">
        <v>440</v>
      </c>
      <c r="I179" s="35">
        <v>6</v>
      </c>
      <c r="K179" s="108"/>
      <c r="L179" s="108"/>
      <c r="M179" s="108"/>
    </row>
    <row r="180" spans="5:13" ht="28.7" x14ac:dyDescent="0.5">
      <c r="E180" s="33">
        <v>178</v>
      </c>
      <c r="F180" s="48" t="s">
        <v>32</v>
      </c>
      <c r="G180" s="48" t="s">
        <v>346</v>
      </c>
      <c r="H180" s="48" t="s">
        <v>345</v>
      </c>
      <c r="I180" s="35">
        <v>6</v>
      </c>
      <c r="K180" s="108"/>
      <c r="L180" s="108"/>
      <c r="M180" s="108"/>
    </row>
    <row r="181" spans="5:13" ht="57.35" x14ac:dyDescent="0.5">
      <c r="E181" s="33">
        <v>179</v>
      </c>
      <c r="F181" s="48" t="s">
        <v>32</v>
      </c>
      <c r="G181" s="48" t="s">
        <v>22</v>
      </c>
      <c r="H181" s="48" t="s">
        <v>23</v>
      </c>
      <c r="I181" s="35">
        <v>6</v>
      </c>
      <c r="K181" s="108"/>
      <c r="L181" s="108"/>
      <c r="M181" s="108"/>
    </row>
    <row r="182" spans="5:13" ht="28.7" x14ac:dyDescent="0.5">
      <c r="E182" s="33">
        <v>180</v>
      </c>
      <c r="F182" s="48" t="s">
        <v>32</v>
      </c>
      <c r="G182" s="48" t="s">
        <v>29</v>
      </c>
      <c r="H182" s="48" t="s">
        <v>28</v>
      </c>
      <c r="I182" s="35">
        <v>6</v>
      </c>
      <c r="K182" s="108"/>
      <c r="L182" s="108"/>
      <c r="M182" s="108"/>
    </row>
    <row r="183" spans="5:13" ht="28.7" x14ac:dyDescent="0.5">
      <c r="E183" s="33">
        <v>181</v>
      </c>
      <c r="F183" s="48" t="s">
        <v>250</v>
      </c>
      <c r="G183" s="48" t="s">
        <v>263</v>
      </c>
      <c r="H183" s="48" t="s">
        <v>262</v>
      </c>
      <c r="I183" s="35">
        <v>6</v>
      </c>
      <c r="K183" s="108"/>
      <c r="L183" s="108"/>
      <c r="M183" s="108"/>
    </row>
    <row r="184" spans="5:13" ht="28.7" x14ac:dyDescent="0.5">
      <c r="E184" s="33">
        <v>182</v>
      </c>
      <c r="F184" s="48" t="s">
        <v>32</v>
      </c>
      <c r="G184" s="48" t="s">
        <v>380</v>
      </c>
      <c r="H184" s="48" t="s">
        <v>379</v>
      </c>
      <c r="I184" s="35">
        <v>6</v>
      </c>
      <c r="K184" s="108"/>
      <c r="L184" s="108"/>
      <c r="M184" s="108"/>
    </row>
    <row r="185" spans="5:13" ht="28.7" x14ac:dyDescent="0.5">
      <c r="E185" s="33">
        <v>183</v>
      </c>
      <c r="F185" s="48" t="s">
        <v>32</v>
      </c>
      <c r="G185" s="48" t="s">
        <v>20</v>
      </c>
      <c r="H185" s="48" t="s">
        <v>155</v>
      </c>
      <c r="I185" s="35">
        <v>6</v>
      </c>
      <c r="K185" s="108"/>
      <c r="L185" s="108"/>
      <c r="M185" s="108"/>
    </row>
    <row r="186" spans="5:13" ht="57.35" x14ac:dyDescent="0.5">
      <c r="E186" s="33">
        <v>184</v>
      </c>
      <c r="F186" s="48" t="s">
        <v>32</v>
      </c>
      <c r="G186" s="48" t="s">
        <v>411</v>
      </c>
      <c r="H186" s="48" t="s">
        <v>410</v>
      </c>
      <c r="I186" s="35">
        <v>6</v>
      </c>
      <c r="K186" s="108"/>
      <c r="L186" s="108"/>
      <c r="M186" s="108"/>
    </row>
    <row r="187" spans="5:13" ht="28.7" x14ac:dyDescent="0.5">
      <c r="E187" s="33">
        <v>185</v>
      </c>
      <c r="F187" s="48" t="s">
        <v>32</v>
      </c>
      <c r="G187" s="48" t="s">
        <v>466</v>
      </c>
      <c r="H187" s="48" t="s">
        <v>465</v>
      </c>
      <c r="I187" s="35">
        <v>6</v>
      </c>
      <c r="K187" s="108"/>
      <c r="L187" s="108"/>
      <c r="M187" s="108"/>
    </row>
    <row r="188" spans="5:13" ht="28.7" x14ac:dyDescent="0.5">
      <c r="E188" s="33">
        <v>186</v>
      </c>
      <c r="F188" s="48" t="s">
        <v>32</v>
      </c>
      <c r="G188" s="48" t="s">
        <v>270</v>
      </c>
      <c r="H188" s="48" t="s">
        <v>269</v>
      </c>
      <c r="I188" s="35">
        <v>6</v>
      </c>
      <c r="K188" s="108"/>
      <c r="L188" s="108"/>
    </row>
    <row r="189" spans="5:13" ht="28.7" x14ac:dyDescent="0.5">
      <c r="E189" s="33">
        <v>187</v>
      </c>
      <c r="F189" s="48" t="s">
        <v>32</v>
      </c>
      <c r="G189" s="48" t="s">
        <v>350</v>
      </c>
      <c r="H189" s="48" t="s">
        <v>349</v>
      </c>
      <c r="I189" s="35">
        <v>6</v>
      </c>
      <c r="K189" s="108"/>
      <c r="L189" s="108"/>
    </row>
    <row r="190" spans="5:13" ht="28.7" x14ac:dyDescent="0.5">
      <c r="E190" s="33">
        <v>188</v>
      </c>
      <c r="F190" s="48" t="s">
        <v>32</v>
      </c>
      <c r="G190" s="48" t="s">
        <v>453</v>
      </c>
      <c r="H190" s="48" t="s">
        <v>452</v>
      </c>
      <c r="I190" s="35">
        <v>6</v>
      </c>
      <c r="K190" s="108"/>
      <c r="L190" s="108"/>
    </row>
    <row r="191" spans="5:13" ht="28.7" x14ac:dyDescent="0.5">
      <c r="E191" s="33">
        <v>189</v>
      </c>
      <c r="F191" s="48" t="s">
        <v>32</v>
      </c>
      <c r="G191" s="48" t="s">
        <v>392</v>
      </c>
      <c r="H191" s="48" t="s">
        <v>391</v>
      </c>
      <c r="I191" s="35">
        <v>6</v>
      </c>
      <c r="K191" s="108"/>
      <c r="L191" s="108"/>
    </row>
    <row r="192" spans="5:13" ht="28.7" x14ac:dyDescent="0.5">
      <c r="E192" s="33">
        <v>190</v>
      </c>
      <c r="F192" s="48" t="s">
        <v>32</v>
      </c>
      <c r="G192" s="48" t="s">
        <v>382</v>
      </c>
      <c r="H192" s="48" t="s">
        <v>381</v>
      </c>
      <c r="I192" s="35">
        <v>6</v>
      </c>
      <c r="K192" s="108"/>
      <c r="L192" s="108"/>
    </row>
    <row r="193" spans="5:12" ht="28.7" x14ac:dyDescent="0.5">
      <c r="E193" s="33">
        <v>191</v>
      </c>
      <c r="F193" s="48" t="s">
        <v>32</v>
      </c>
      <c r="G193" s="48" t="s">
        <v>462</v>
      </c>
      <c r="H193" s="48" t="s">
        <v>515</v>
      </c>
      <c r="I193" s="35">
        <v>6</v>
      </c>
      <c r="K193" s="108"/>
      <c r="L193" s="108"/>
    </row>
    <row r="194" spans="5:12" ht="43" x14ac:dyDescent="0.5">
      <c r="E194" s="33">
        <v>192</v>
      </c>
      <c r="F194" s="48" t="s">
        <v>32</v>
      </c>
      <c r="G194" s="48" t="s">
        <v>430</v>
      </c>
      <c r="H194" s="48" t="s">
        <v>429</v>
      </c>
      <c r="I194" s="35">
        <v>6</v>
      </c>
      <c r="K194" s="108"/>
      <c r="L194" s="108"/>
    </row>
    <row r="195" spans="5:12" ht="71.7" x14ac:dyDescent="0.5">
      <c r="E195" s="33">
        <v>193</v>
      </c>
      <c r="F195" s="48" t="s">
        <v>32</v>
      </c>
      <c r="G195" s="48" t="s">
        <v>104</v>
      </c>
      <c r="H195" s="48" t="s">
        <v>103</v>
      </c>
      <c r="I195" s="35">
        <v>6</v>
      </c>
      <c r="K195" s="108"/>
      <c r="L195" s="108"/>
    </row>
    <row r="196" spans="5:12" ht="15.7" x14ac:dyDescent="0.5">
      <c r="E196" s="33">
        <v>194</v>
      </c>
      <c r="F196" s="48" t="s">
        <v>250</v>
      </c>
      <c r="G196" s="3" t="s">
        <v>249</v>
      </c>
      <c r="H196" s="3" t="s">
        <v>248</v>
      </c>
      <c r="I196" s="35">
        <v>6</v>
      </c>
      <c r="K196" s="108"/>
      <c r="L196" s="108"/>
    </row>
    <row r="197" spans="5:12" ht="15.7" x14ac:dyDescent="0.5">
      <c r="E197" s="33">
        <v>195</v>
      </c>
      <c r="F197" s="48" t="s">
        <v>32</v>
      </c>
      <c r="G197" s="48" t="s">
        <v>93</v>
      </c>
      <c r="H197" s="48" t="s">
        <v>92</v>
      </c>
      <c r="I197" s="35">
        <v>6</v>
      </c>
      <c r="K197" s="108"/>
      <c r="L197" s="108"/>
    </row>
    <row r="198" spans="5:12" ht="28.7" x14ac:dyDescent="0.5">
      <c r="E198" s="33">
        <v>196</v>
      </c>
      <c r="F198" s="48" t="s">
        <v>32</v>
      </c>
      <c r="G198" s="48" t="s">
        <v>278</v>
      </c>
      <c r="H198" s="48" t="s">
        <v>277</v>
      </c>
      <c r="I198" s="35">
        <v>6</v>
      </c>
      <c r="K198" s="108"/>
      <c r="L198" s="108"/>
    </row>
    <row r="199" spans="5:12" ht="15.7" x14ac:dyDescent="0.5">
      <c r="E199" s="33">
        <v>197</v>
      </c>
      <c r="F199" s="48" t="s">
        <v>32</v>
      </c>
      <c r="G199" s="48" t="s">
        <v>272</v>
      </c>
      <c r="H199" s="48" t="s">
        <v>271</v>
      </c>
      <c r="I199" s="35">
        <v>6</v>
      </c>
      <c r="K199" s="108"/>
      <c r="L199" s="108"/>
    </row>
    <row r="200" spans="5:12" ht="28.7" x14ac:dyDescent="0.5">
      <c r="E200" s="33">
        <v>198</v>
      </c>
      <c r="F200" s="48" t="s">
        <v>32</v>
      </c>
      <c r="G200" s="48" t="s">
        <v>449</v>
      </c>
      <c r="H200" s="48" t="s">
        <v>448</v>
      </c>
      <c r="I200" s="35">
        <v>6</v>
      </c>
      <c r="K200" s="108"/>
      <c r="L200" s="108"/>
    </row>
    <row r="201" spans="5:12" ht="15.7" x14ac:dyDescent="0.5">
      <c r="E201" s="33">
        <v>199</v>
      </c>
      <c r="F201" s="48" t="s">
        <v>32</v>
      </c>
      <c r="G201" s="48" t="s">
        <v>48</v>
      </c>
      <c r="H201" s="48" t="s">
        <v>49</v>
      </c>
      <c r="I201" s="35">
        <v>6</v>
      </c>
      <c r="K201" s="108"/>
      <c r="L201" s="108"/>
    </row>
    <row r="202" spans="5:12" ht="28.7" x14ac:dyDescent="0.5">
      <c r="E202" s="33">
        <v>200</v>
      </c>
      <c r="F202" s="48" t="s">
        <v>250</v>
      </c>
      <c r="G202" s="3" t="s">
        <v>251</v>
      </c>
      <c r="H202" s="3" t="s">
        <v>252</v>
      </c>
      <c r="I202" s="35">
        <v>6</v>
      </c>
      <c r="K202" s="108"/>
      <c r="L202" s="108"/>
    </row>
    <row r="203" spans="5:12" ht="15.7" x14ac:dyDescent="0.5">
      <c r="E203" s="33">
        <v>201</v>
      </c>
      <c r="F203" s="48" t="s">
        <v>32</v>
      </c>
      <c r="G203" s="48" t="s">
        <v>220</v>
      </c>
      <c r="H203" s="48" t="s">
        <v>219</v>
      </c>
      <c r="I203" s="35">
        <v>6</v>
      </c>
      <c r="K203" s="108"/>
      <c r="L203" s="108"/>
    </row>
    <row r="204" spans="5:12" ht="15.7" x14ac:dyDescent="0.5">
      <c r="E204" s="33">
        <v>202</v>
      </c>
      <c r="F204" s="48" t="s">
        <v>32</v>
      </c>
      <c r="G204" s="48" t="s">
        <v>504</v>
      </c>
      <c r="H204" s="48" t="s">
        <v>505</v>
      </c>
      <c r="I204" s="35">
        <v>6</v>
      </c>
      <c r="K204" s="108"/>
      <c r="L204" s="108"/>
    </row>
    <row r="205" spans="5:12" ht="28.7" x14ac:dyDescent="0.5">
      <c r="E205" s="33">
        <v>203</v>
      </c>
      <c r="F205" s="48" t="s">
        <v>32</v>
      </c>
      <c r="G205" s="48" t="s">
        <v>154</v>
      </c>
      <c r="H205" s="48" t="s">
        <v>153</v>
      </c>
      <c r="I205" s="35">
        <v>6</v>
      </c>
      <c r="K205" s="108"/>
      <c r="L205" s="108"/>
    </row>
    <row r="206" spans="5:12" ht="15.7" x14ac:dyDescent="0.5">
      <c r="E206" s="33">
        <v>204</v>
      </c>
      <c r="F206" s="48" t="s">
        <v>32</v>
      </c>
      <c r="G206" s="48" t="s">
        <v>114</v>
      </c>
      <c r="H206" s="48" t="s">
        <v>511</v>
      </c>
      <c r="I206" s="35">
        <v>6</v>
      </c>
      <c r="K206" s="108"/>
      <c r="L206" s="108"/>
    </row>
    <row r="207" spans="5:12" ht="28.7" x14ac:dyDescent="0.5">
      <c r="E207" s="33">
        <v>205</v>
      </c>
      <c r="F207" s="48" t="s">
        <v>32</v>
      </c>
      <c r="G207" s="48" t="s">
        <v>236</v>
      </c>
      <c r="H207" s="48" t="s">
        <v>235</v>
      </c>
      <c r="I207" s="35">
        <v>6</v>
      </c>
      <c r="K207" s="108"/>
      <c r="L207" s="108"/>
    </row>
    <row r="208" spans="5:12" ht="28.7" x14ac:dyDescent="0.5">
      <c r="E208" s="33">
        <v>206</v>
      </c>
      <c r="F208" s="48" t="s">
        <v>32</v>
      </c>
      <c r="G208" s="48" t="s">
        <v>282</v>
      </c>
      <c r="H208" s="48" t="s">
        <v>283</v>
      </c>
      <c r="I208" s="35">
        <v>6</v>
      </c>
      <c r="K208" s="108"/>
      <c r="L208" s="108"/>
    </row>
    <row r="209" spans="5:12" ht="28.7" x14ac:dyDescent="0.5">
      <c r="E209" s="33">
        <v>207</v>
      </c>
      <c r="F209" s="48" t="s">
        <v>32</v>
      </c>
      <c r="G209" s="48" t="s">
        <v>232</v>
      </c>
      <c r="H209" s="48" t="s">
        <v>231</v>
      </c>
      <c r="I209" s="35">
        <v>6</v>
      </c>
      <c r="K209" s="108"/>
      <c r="L209" s="108"/>
    </row>
    <row r="210" spans="5:12" ht="15.7" x14ac:dyDescent="0.5">
      <c r="E210" s="33">
        <v>208</v>
      </c>
      <c r="F210" s="48" t="s">
        <v>32</v>
      </c>
      <c r="G210" s="48" t="s">
        <v>331</v>
      </c>
      <c r="H210" s="48" t="s">
        <v>330</v>
      </c>
      <c r="I210" s="35">
        <v>6</v>
      </c>
      <c r="K210" s="108"/>
      <c r="L210" s="108"/>
    </row>
    <row r="211" spans="5:12" ht="43" x14ac:dyDescent="0.5">
      <c r="E211" s="33">
        <v>209</v>
      </c>
      <c r="F211" s="48" t="s">
        <v>32</v>
      </c>
      <c r="G211" s="48" t="s">
        <v>327</v>
      </c>
      <c r="H211" s="48" t="s">
        <v>326</v>
      </c>
      <c r="I211" s="35">
        <v>6</v>
      </c>
      <c r="K211" s="108"/>
      <c r="L211" s="108"/>
    </row>
    <row r="212" spans="5:12" ht="43" x14ac:dyDescent="0.5">
      <c r="E212" s="33">
        <v>210</v>
      </c>
      <c r="F212" s="48" t="s">
        <v>32</v>
      </c>
      <c r="G212" s="48" t="s">
        <v>434</v>
      </c>
      <c r="H212" s="48" t="s">
        <v>433</v>
      </c>
      <c r="I212" s="35">
        <v>6</v>
      </c>
      <c r="K212" s="108"/>
      <c r="L212" s="108"/>
    </row>
    <row r="213" spans="5:12" ht="43" x14ac:dyDescent="0.5">
      <c r="E213" s="33">
        <v>211</v>
      </c>
      <c r="F213" s="48" t="s">
        <v>32</v>
      </c>
      <c r="G213" s="48" t="s">
        <v>285</v>
      </c>
      <c r="H213" s="48" t="s">
        <v>284</v>
      </c>
      <c r="I213" s="35">
        <v>6</v>
      </c>
      <c r="K213" s="108"/>
      <c r="L213" s="108"/>
    </row>
    <row r="214" spans="5:12" ht="28.7" x14ac:dyDescent="0.5">
      <c r="E214" s="33">
        <v>212</v>
      </c>
      <c r="F214" s="48" t="s">
        <v>32</v>
      </c>
      <c r="G214" s="48" t="s">
        <v>167</v>
      </c>
      <c r="H214" s="48" t="s">
        <v>166</v>
      </c>
      <c r="I214" s="35">
        <v>6</v>
      </c>
      <c r="K214" s="108"/>
      <c r="L214" s="108"/>
    </row>
    <row r="215" spans="5:12" ht="28.7" x14ac:dyDescent="0.5">
      <c r="E215" s="33">
        <v>213</v>
      </c>
      <c r="F215" s="48" t="s">
        <v>32</v>
      </c>
      <c r="G215" s="48" t="s">
        <v>291</v>
      </c>
      <c r="H215" s="48" t="s">
        <v>290</v>
      </c>
      <c r="I215" s="35">
        <v>6</v>
      </c>
      <c r="K215" s="108"/>
      <c r="L215" s="108"/>
    </row>
    <row r="216" spans="5:12" ht="28.7" x14ac:dyDescent="0.5">
      <c r="E216" s="33">
        <v>214</v>
      </c>
      <c r="F216" s="48" t="s">
        <v>32</v>
      </c>
      <c r="G216" s="48" t="s">
        <v>299</v>
      </c>
      <c r="H216" s="48" t="s">
        <v>298</v>
      </c>
      <c r="I216" s="35">
        <v>6</v>
      </c>
      <c r="K216" s="108"/>
      <c r="L216" s="108"/>
    </row>
    <row r="217" spans="5:12" ht="28.7" x14ac:dyDescent="0.5">
      <c r="E217" s="33">
        <v>215</v>
      </c>
      <c r="F217" s="48" t="s">
        <v>32</v>
      </c>
      <c r="G217" s="48" t="s">
        <v>333</v>
      </c>
      <c r="H217" s="48" t="s">
        <v>332</v>
      </c>
      <c r="I217" s="35">
        <v>6</v>
      </c>
      <c r="K217" s="108"/>
      <c r="L217" s="108"/>
    </row>
    <row r="218" spans="5:12" ht="43" x14ac:dyDescent="0.5">
      <c r="E218" s="33">
        <v>216</v>
      </c>
      <c r="F218" s="48" t="s">
        <v>32</v>
      </c>
      <c r="G218" s="48" t="s">
        <v>205</v>
      </c>
      <c r="H218" s="48" t="s">
        <v>204</v>
      </c>
      <c r="I218" s="35">
        <v>6</v>
      </c>
      <c r="K218" s="108"/>
      <c r="L218" s="108"/>
    </row>
    <row r="219" spans="5:12" ht="28.7" x14ac:dyDescent="0.5">
      <c r="E219" s="33">
        <v>217</v>
      </c>
      <c r="F219" s="48" t="s">
        <v>32</v>
      </c>
      <c r="G219" s="48" t="s">
        <v>303</v>
      </c>
      <c r="H219" s="48" t="s">
        <v>302</v>
      </c>
      <c r="I219" s="35">
        <v>6</v>
      </c>
      <c r="K219" s="108"/>
      <c r="L219" s="108"/>
    </row>
    <row r="220" spans="5:12" ht="43" x14ac:dyDescent="0.5">
      <c r="E220" s="33">
        <v>218</v>
      </c>
      <c r="F220" s="48" t="s">
        <v>32</v>
      </c>
      <c r="G220" s="48" t="s">
        <v>207</v>
      </c>
      <c r="H220" s="48" t="s">
        <v>206</v>
      </c>
      <c r="I220" s="35">
        <v>6</v>
      </c>
      <c r="K220" s="108"/>
      <c r="L220" s="108"/>
    </row>
    <row r="221" spans="5:12" ht="15.7" x14ac:dyDescent="0.5">
      <c r="E221" s="33">
        <v>219</v>
      </c>
      <c r="F221" s="48" t="s">
        <v>32</v>
      </c>
      <c r="G221" s="48" t="s">
        <v>69</v>
      </c>
      <c r="H221" s="48" t="s">
        <v>68</v>
      </c>
      <c r="I221" s="35">
        <v>6</v>
      </c>
      <c r="K221" s="108"/>
      <c r="L221" s="108"/>
    </row>
    <row r="222" spans="5:12" ht="43" x14ac:dyDescent="0.5">
      <c r="E222" s="33">
        <v>220</v>
      </c>
      <c r="F222" s="48" t="s">
        <v>32</v>
      </c>
      <c r="G222" s="48" t="s">
        <v>132</v>
      </c>
      <c r="H222" s="48" t="s">
        <v>131</v>
      </c>
      <c r="I222" s="35">
        <v>6</v>
      </c>
      <c r="K222" s="108"/>
      <c r="L222" s="108"/>
    </row>
    <row r="223" spans="5:12" ht="28.7" x14ac:dyDescent="0.5">
      <c r="E223" s="33">
        <v>221</v>
      </c>
      <c r="F223" s="48" t="s">
        <v>250</v>
      </c>
      <c r="G223" s="48" t="s">
        <v>257</v>
      </c>
      <c r="H223" s="48" t="s">
        <v>256</v>
      </c>
      <c r="I223" s="35">
        <v>6</v>
      </c>
      <c r="K223" s="108"/>
      <c r="L223" s="108"/>
    </row>
    <row r="224" spans="5:12" ht="15.7" x14ac:dyDescent="0.5">
      <c r="E224" s="33">
        <v>222</v>
      </c>
      <c r="F224" s="48" t="s">
        <v>32</v>
      </c>
      <c r="G224" s="48" t="s">
        <v>51</v>
      </c>
      <c r="H224" s="48" t="s">
        <v>50</v>
      </c>
      <c r="I224" s="35">
        <v>6</v>
      </c>
      <c r="K224" s="108"/>
      <c r="L224" s="108"/>
    </row>
    <row r="225" spans="5:12" ht="28.7" x14ac:dyDescent="0.5">
      <c r="E225" s="33">
        <v>223</v>
      </c>
      <c r="F225" s="48" t="s">
        <v>32</v>
      </c>
      <c r="G225" s="48" t="s">
        <v>140</v>
      </c>
      <c r="H225" s="48" t="s">
        <v>139</v>
      </c>
      <c r="I225" s="35">
        <v>6</v>
      </c>
      <c r="K225" s="108"/>
      <c r="L225" s="108"/>
    </row>
    <row r="226" spans="5:12" ht="43" x14ac:dyDescent="0.5">
      <c r="E226" s="33">
        <v>224</v>
      </c>
      <c r="F226" s="48" t="s">
        <v>32</v>
      </c>
      <c r="G226" s="48" t="s">
        <v>171</v>
      </c>
      <c r="H226" s="48" t="s">
        <v>170</v>
      </c>
      <c r="I226" s="35">
        <v>6</v>
      </c>
      <c r="K226" s="108"/>
      <c r="L226" s="108"/>
    </row>
    <row r="227" spans="5:12" ht="28.7" x14ac:dyDescent="0.5">
      <c r="E227" s="33">
        <v>225</v>
      </c>
      <c r="F227" s="48" t="s">
        <v>32</v>
      </c>
      <c r="G227" s="48" t="s">
        <v>461</v>
      </c>
      <c r="H227" s="48" t="s">
        <v>460</v>
      </c>
      <c r="I227" s="35">
        <v>6</v>
      </c>
      <c r="K227" s="108"/>
      <c r="L227" s="108"/>
    </row>
    <row r="228" spans="5:12" ht="15.7" x14ac:dyDescent="0.5">
      <c r="E228" s="33">
        <v>226</v>
      </c>
      <c r="F228" s="48" t="s">
        <v>32</v>
      </c>
      <c r="G228" s="48" t="s">
        <v>513</v>
      </c>
      <c r="H228" s="48" t="s">
        <v>316</v>
      </c>
      <c r="I228" s="35">
        <v>6</v>
      </c>
      <c r="K228" s="108"/>
      <c r="L228" s="108"/>
    </row>
    <row r="229" spans="5:12" ht="28.7" x14ac:dyDescent="0.5">
      <c r="E229" s="33">
        <v>227</v>
      </c>
      <c r="F229" s="48" t="s">
        <v>32</v>
      </c>
      <c r="G229" s="48" t="s">
        <v>21</v>
      </c>
      <c r="H229" s="48" t="s">
        <v>210</v>
      </c>
      <c r="I229" s="35">
        <v>6</v>
      </c>
      <c r="K229" s="108"/>
      <c r="L229" s="108"/>
    </row>
    <row r="230" spans="5:12" ht="15.7" x14ac:dyDescent="0.5">
      <c r="E230" s="33">
        <v>228</v>
      </c>
      <c r="F230" s="48" t="s">
        <v>32</v>
      </c>
      <c r="G230" s="48" t="s">
        <v>240</v>
      </c>
      <c r="H230" s="48" t="s">
        <v>239</v>
      </c>
      <c r="I230" s="35">
        <v>6</v>
      </c>
      <c r="K230" s="108"/>
      <c r="L230" s="108"/>
    </row>
    <row r="231" spans="5:12" ht="28.7" x14ac:dyDescent="0.5">
      <c r="E231" s="33">
        <v>229</v>
      </c>
      <c r="F231" s="48" t="s">
        <v>32</v>
      </c>
      <c r="G231" s="48" t="s">
        <v>29</v>
      </c>
      <c r="H231" s="48" t="s">
        <v>28</v>
      </c>
      <c r="I231" s="35">
        <v>6</v>
      </c>
      <c r="K231" s="108"/>
      <c r="L231" s="108"/>
    </row>
    <row r="232" spans="5:12" ht="15.7" x14ac:dyDescent="0.5">
      <c r="E232" s="33">
        <v>230</v>
      </c>
      <c r="F232" s="48" t="s">
        <v>32</v>
      </c>
      <c r="G232" s="48" t="s">
        <v>25</v>
      </c>
      <c r="H232" s="48" t="s">
        <v>24</v>
      </c>
      <c r="I232" s="35">
        <v>6</v>
      </c>
      <c r="K232" s="108"/>
      <c r="L232" s="108"/>
    </row>
    <row r="233" spans="5:12" ht="28.7" x14ac:dyDescent="0.5">
      <c r="E233" s="33">
        <v>231</v>
      </c>
      <c r="F233" s="48" t="s">
        <v>32</v>
      </c>
      <c r="G233" s="48" t="s">
        <v>509</v>
      </c>
      <c r="H233" s="48" t="s">
        <v>321</v>
      </c>
      <c r="I233" s="35">
        <v>6</v>
      </c>
      <c r="K233" s="108"/>
      <c r="L233" s="108"/>
    </row>
    <row r="234" spans="5:12" ht="28.7" x14ac:dyDescent="0.5">
      <c r="E234" s="33">
        <v>232</v>
      </c>
      <c r="F234" s="48" t="s">
        <v>32</v>
      </c>
      <c r="G234" s="48" t="s">
        <v>500</v>
      </c>
      <c r="H234" s="48" t="s">
        <v>499</v>
      </c>
      <c r="I234" s="35">
        <v>6</v>
      </c>
      <c r="K234" s="108"/>
      <c r="L234" s="108"/>
    </row>
    <row r="235" spans="5:12" ht="28.7" x14ac:dyDescent="0.5">
      <c r="E235" s="33">
        <v>233</v>
      </c>
      <c r="F235" s="48" t="s">
        <v>32</v>
      </c>
      <c r="G235" s="48" t="s">
        <v>138</v>
      </c>
      <c r="H235" s="48" t="s">
        <v>137</v>
      </c>
      <c r="I235" s="35">
        <v>6</v>
      </c>
      <c r="K235" s="108"/>
      <c r="L235" s="108"/>
    </row>
    <row r="236" spans="5:12" ht="28.7" x14ac:dyDescent="0.5">
      <c r="E236" s="33">
        <v>234</v>
      </c>
      <c r="F236" s="48" t="s">
        <v>32</v>
      </c>
      <c r="G236" s="48" t="s">
        <v>55</v>
      </c>
      <c r="H236" s="48" t="s">
        <v>54</v>
      </c>
      <c r="I236" s="35">
        <v>6</v>
      </c>
      <c r="K236" s="108"/>
      <c r="L236" s="108"/>
    </row>
    <row r="237" spans="5:12" ht="15.7" x14ac:dyDescent="0.5">
      <c r="E237" s="33">
        <v>235</v>
      </c>
      <c r="F237" s="48" t="s">
        <v>32</v>
      </c>
      <c r="G237" s="48" t="s">
        <v>451</v>
      </c>
      <c r="H237" s="48" t="s">
        <v>450</v>
      </c>
      <c r="I237" s="35">
        <v>6</v>
      </c>
      <c r="K237" s="108"/>
      <c r="L237" s="108"/>
    </row>
    <row r="238" spans="5:12" ht="28.7" x14ac:dyDescent="0.5">
      <c r="E238" s="33">
        <v>236</v>
      </c>
      <c r="F238" s="48" t="s">
        <v>32</v>
      </c>
      <c r="G238" s="48" t="s">
        <v>61</v>
      </c>
      <c r="H238" s="48" t="s">
        <v>60</v>
      </c>
      <c r="I238" s="35">
        <v>6</v>
      </c>
      <c r="K238" s="108"/>
      <c r="L238" s="108"/>
    </row>
    <row r="239" spans="5:12" ht="43" x14ac:dyDescent="0.5">
      <c r="E239" s="33">
        <v>237</v>
      </c>
      <c r="F239" s="48" t="s">
        <v>250</v>
      </c>
      <c r="G239" s="48" t="s">
        <v>247</v>
      </c>
      <c r="H239" s="48" t="s">
        <v>253</v>
      </c>
      <c r="I239" s="35">
        <v>6</v>
      </c>
      <c r="K239" s="108"/>
      <c r="L239" s="108"/>
    </row>
    <row r="240" spans="5:12" ht="28.7" x14ac:dyDescent="0.5">
      <c r="E240" s="33">
        <v>238</v>
      </c>
      <c r="F240" s="48" t="s">
        <v>32</v>
      </c>
      <c r="G240" s="48" t="s">
        <v>474</v>
      </c>
      <c r="H240" s="48" t="s">
        <v>473</v>
      </c>
      <c r="I240" s="35">
        <v>6</v>
      </c>
      <c r="K240" s="108"/>
      <c r="L240" s="108"/>
    </row>
    <row r="241" spans="5:12" ht="28.7" x14ac:dyDescent="0.5">
      <c r="E241" s="33">
        <v>239</v>
      </c>
      <c r="F241" s="48" t="s">
        <v>32</v>
      </c>
      <c r="G241" s="48" t="s">
        <v>468</v>
      </c>
      <c r="H241" s="48" t="s">
        <v>467</v>
      </c>
      <c r="I241" s="35">
        <v>6</v>
      </c>
      <c r="K241" s="108"/>
      <c r="L241" s="108"/>
    </row>
    <row r="242" spans="5:12" ht="15.7" x14ac:dyDescent="0.5">
      <c r="E242" s="33">
        <v>240</v>
      </c>
      <c r="F242" s="48" t="s">
        <v>32</v>
      </c>
      <c r="G242" s="48" t="s">
        <v>297</v>
      </c>
      <c r="H242" s="48" t="s">
        <v>296</v>
      </c>
      <c r="I242" s="35">
        <v>6</v>
      </c>
      <c r="K242" s="108"/>
      <c r="L242" s="108"/>
    </row>
    <row r="243" spans="5:12" ht="57.35" x14ac:dyDescent="0.5">
      <c r="E243" s="33">
        <v>241</v>
      </c>
      <c r="F243" s="48" t="s">
        <v>32</v>
      </c>
      <c r="G243" s="48" t="s">
        <v>432</v>
      </c>
      <c r="H243" s="48" t="s">
        <v>431</v>
      </c>
      <c r="I243" s="35">
        <v>6</v>
      </c>
      <c r="K243" s="108"/>
      <c r="L243" s="108"/>
    </row>
    <row r="244" spans="5:12" ht="15.7" x14ac:dyDescent="0.5">
      <c r="E244" s="33">
        <v>242</v>
      </c>
      <c r="F244" s="48" t="s">
        <v>32</v>
      </c>
      <c r="G244" s="48" t="s">
        <v>318</v>
      </c>
      <c r="H244" s="48" t="s">
        <v>317</v>
      </c>
      <c r="I244" s="35">
        <v>6</v>
      </c>
      <c r="K244" s="108"/>
      <c r="L244" s="108"/>
    </row>
    <row r="245" spans="5:12" ht="15.7" x14ac:dyDescent="0.5">
      <c r="E245" s="33">
        <v>243</v>
      </c>
      <c r="F245" s="48" t="s">
        <v>32</v>
      </c>
      <c r="G245" s="48" t="s">
        <v>96</v>
      </c>
      <c r="H245" s="48" t="s">
        <v>95</v>
      </c>
      <c r="I245" s="35">
        <v>6</v>
      </c>
      <c r="K245" s="108"/>
      <c r="L245" s="108"/>
    </row>
    <row r="246" spans="5:12" ht="28.7" x14ac:dyDescent="0.5">
      <c r="E246" s="33">
        <v>244</v>
      </c>
      <c r="F246" s="48" t="s">
        <v>32</v>
      </c>
      <c r="G246" s="48" t="s">
        <v>510</v>
      </c>
      <c r="H246" s="48" t="s">
        <v>266</v>
      </c>
      <c r="I246" s="35">
        <v>6</v>
      </c>
      <c r="K246" s="108"/>
      <c r="L246" s="108"/>
    </row>
    <row r="247" spans="5:12" ht="28.7" x14ac:dyDescent="0.5">
      <c r="E247" s="33">
        <v>245</v>
      </c>
      <c r="F247" s="48" t="s">
        <v>32</v>
      </c>
      <c r="G247" s="48" t="s">
        <v>512</v>
      </c>
      <c r="H247" s="48" t="s">
        <v>35</v>
      </c>
      <c r="I247" s="35">
        <v>6</v>
      </c>
      <c r="K247" s="108"/>
      <c r="L247" s="108"/>
    </row>
    <row r="248" spans="5:12" ht="28.7" x14ac:dyDescent="0.5">
      <c r="E248" s="33">
        <v>246</v>
      </c>
      <c r="F248" s="48" t="s">
        <v>32</v>
      </c>
      <c r="G248" s="48" t="s">
        <v>169</v>
      </c>
      <c r="H248" s="48" t="s">
        <v>168</v>
      </c>
      <c r="I248" s="35">
        <v>6</v>
      </c>
      <c r="K248" s="108"/>
      <c r="L248" s="108"/>
    </row>
    <row r="249" spans="5:12" ht="28.7" x14ac:dyDescent="0.5">
      <c r="E249" s="33">
        <v>247</v>
      </c>
      <c r="F249" s="48" t="s">
        <v>32</v>
      </c>
      <c r="G249" s="48" t="s">
        <v>311</v>
      </c>
      <c r="H249" s="48" t="s">
        <v>310</v>
      </c>
      <c r="I249" s="35">
        <v>6</v>
      </c>
      <c r="K249" s="108"/>
      <c r="L249" s="108"/>
    </row>
    <row r="250" spans="5:12" ht="28.7" x14ac:dyDescent="0.5">
      <c r="E250" s="33">
        <v>248</v>
      </c>
      <c r="F250" s="48" t="s">
        <v>32</v>
      </c>
      <c r="G250" s="48" t="s">
        <v>455</v>
      </c>
      <c r="H250" s="48" t="s">
        <v>454</v>
      </c>
      <c r="I250" s="35">
        <v>6</v>
      </c>
      <c r="K250" s="108"/>
      <c r="L250" s="108"/>
    </row>
    <row r="251" spans="5:12" ht="28.7" x14ac:dyDescent="0.5">
      <c r="E251" s="33">
        <v>249</v>
      </c>
      <c r="F251" s="48" t="s">
        <v>32</v>
      </c>
      <c r="G251" s="48" t="s">
        <v>457</v>
      </c>
      <c r="H251" s="48" t="s">
        <v>456</v>
      </c>
      <c r="I251" s="35">
        <v>6</v>
      </c>
      <c r="K251" s="108"/>
      <c r="L251" s="108"/>
    </row>
    <row r="252" spans="5:12" ht="28.7" x14ac:dyDescent="0.5">
      <c r="E252" s="33">
        <v>250</v>
      </c>
      <c r="F252" s="48" t="s">
        <v>32</v>
      </c>
      <c r="G252" s="48" t="s">
        <v>274</v>
      </c>
      <c r="H252" s="48" t="s">
        <v>372</v>
      </c>
      <c r="I252" s="35">
        <v>6</v>
      </c>
      <c r="K252" s="108"/>
      <c r="L252" s="108"/>
    </row>
    <row r="253" spans="5:12" ht="157.69999999999999" x14ac:dyDescent="0.5">
      <c r="E253" s="33">
        <v>251</v>
      </c>
      <c r="F253" s="48" t="s">
        <v>32</v>
      </c>
      <c r="G253" s="48" t="s">
        <v>517</v>
      </c>
      <c r="H253" s="48" t="s">
        <v>518</v>
      </c>
      <c r="I253" s="35">
        <v>6</v>
      </c>
      <c r="K253" s="108"/>
      <c r="L253" s="108"/>
    </row>
    <row r="254" spans="5:12" ht="43" x14ac:dyDescent="0.5">
      <c r="E254" s="33">
        <v>252</v>
      </c>
      <c r="F254" s="48" t="s">
        <v>32</v>
      </c>
      <c r="G254" s="48" t="s">
        <v>216</v>
      </c>
      <c r="H254" s="48" t="s">
        <v>215</v>
      </c>
      <c r="I254" s="35">
        <v>4</v>
      </c>
      <c r="K254" s="108"/>
      <c r="L254" s="108"/>
    </row>
    <row r="255" spans="5:12" ht="43" x14ac:dyDescent="0.5">
      <c r="E255" s="33">
        <v>253</v>
      </c>
      <c r="F255" s="48" t="s">
        <v>32</v>
      </c>
      <c r="G255" s="48" t="s">
        <v>359</v>
      </c>
      <c r="H255" s="48" t="s">
        <v>358</v>
      </c>
      <c r="I255" s="35">
        <v>6</v>
      </c>
      <c r="K255" s="108"/>
      <c r="L255" s="108"/>
    </row>
    <row r="256" spans="5:12" ht="43" x14ac:dyDescent="0.5">
      <c r="E256" s="33">
        <v>254</v>
      </c>
      <c r="F256" s="48" t="s">
        <v>32</v>
      </c>
      <c r="G256" s="48" t="s">
        <v>342</v>
      </c>
      <c r="H256" s="48" t="s">
        <v>341</v>
      </c>
      <c r="I256" s="35">
        <v>6</v>
      </c>
      <c r="K256" s="108"/>
      <c r="L256" s="108"/>
    </row>
    <row r="257" spans="5:12" ht="15.7" x14ac:dyDescent="0.5">
      <c r="E257" s="33">
        <v>255</v>
      </c>
      <c r="F257" s="48" t="s">
        <v>32</v>
      </c>
      <c r="G257" s="48" t="s">
        <v>387</v>
      </c>
      <c r="H257" s="48" t="s">
        <v>388</v>
      </c>
      <c r="I257" s="35">
        <v>6</v>
      </c>
      <c r="K257" s="108"/>
      <c r="L257" s="108"/>
    </row>
    <row r="258" spans="5:12" ht="15.7" x14ac:dyDescent="0.5">
      <c r="E258" s="33">
        <v>256</v>
      </c>
      <c r="F258" s="48" t="s">
        <v>32</v>
      </c>
      <c r="G258" s="48" t="s">
        <v>423</v>
      </c>
      <c r="H258" s="48" t="s">
        <v>422</v>
      </c>
      <c r="I258" s="35">
        <v>6</v>
      </c>
      <c r="K258" s="108"/>
      <c r="L258" s="108"/>
    </row>
    <row r="259" spans="5:12" ht="15.7" x14ac:dyDescent="0.5">
      <c r="E259" s="33">
        <v>257</v>
      </c>
      <c r="F259" s="48" t="s">
        <v>32</v>
      </c>
      <c r="G259" s="48" t="s">
        <v>118</v>
      </c>
      <c r="H259" s="48" t="s">
        <v>117</v>
      </c>
      <c r="I259" s="35">
        <v>6</v>
      </c>
      <c r="K259" s="108"/>
      <c r="L259" s="108"/>
    </row>
    <row r="260" spans="5:12" ht="28.7" x14ac:dyDescent="0.5">
      <c r="E260" s="33">
        <v>258</v>
      </c>
      <c r="F260" s="48" t="s">
        <v>32</v>
      </c>
      <c r="G260" s="48" t="s">
        <v>309</v>
      </c>
      <c r="H260" s="48" t="s">
        <v>308</v>
      </c>
      <c r="I260" s="35">
        <v>6</v>
      </c>
      <c r="K260" s="108"/>
      <c r="L260" s="108"/>
    </row>
    <row r="261" spans="5:12" ht="28.7" x14ac:dyDescent="0.5">
      <c r="E261" s="33">
        <v>259</v>
      </c>
      <c r="F261" s="48" t="s">
        <v>32</v>
      </c>
      <c r="G261" s="48" t="s">
        <v>401</v>
      </c>
      <c r="H261" s="48" t="s">
        <v>400</v>
      </c>
      <c r="I261" s="35">
        <v>6</v>
      </c>
      <c r="K261" s="108"/>
      <c r="L261" s="108"/>
    </row>
    <row r="262" spans="5:12" ht="15.7" x14ac:dyDescent="0.5">
      <c r="E262" s="33"/>
      <c r="G262" s="48"/>
      <c r="H262" s="48"/>
      <c r="I262" s="35"/>
      <c r="K262" s="108"/>
      <c r="L262" s="108"/>
    </row>
    <row r="263" spans="5:12" ht="15.7" x14ac:dyDescent="0.5">
      <c r="E263" s="33"/>
      <c r="G263" s="48"/>
      <c r="H263" s="48"/>
      <c r="I263" s="35"/>
      <c r="K263" s="108"/>
      <c r="L263" s="108"/>
    </row>
    <row r="264" spans="5:12" ht="15.7" x14ac:dyDescent="0.5">
      <c r="E264" s="33"/>
      <c r="G264" s="48"/>
      <c r="H264" s="48"/>
      <c r="I264" s="35"/>
      <c r="K264" s="108"/>
      <c r="L264" s="108"/>
    </row>
    <row r="265" spans="5:12" ht="15.7" x14ac:dyDescent="0.5">
      <c r="E265" s="33"/>
      <c r="G265" s="48"/>
      <c r="H265" s="48"/>
      <c r="I265" s="35"/>
      <c r="K265" s="108"/>
      <c r="L265" s="108"/>
    </row>
    <row r="266" spans="5:12" ht="15.7" x14ac:dyDescent="0.5">
      <c r="E266" s="33"/>
      <c r="G266" s="48"/>
      <c r="H266" s="48"/>
      <c r="I266" s="35"/>
      <c r="K266" s="108"/>
      <c r="L266" s="108"/>
    </row>
    <row r="267" spans="5:12" ht="15.7" x14ac:dyDescent="0.5">
      <c r="E267" s="33"/>
      <c r="I267" s="35"/>
      <c r="K267" s="108"/>
      <c r="L267" s="108"/>
    </row>
    <row r="268" spans="5:12" ht="15.7" x14ac:dyDescent="0.5">
      <c r="E268" s="33"/>
      <c r="G268" s="48"/>
      <c r="H268" s="48"/>
      <c r="I268" s="35"/>
      <c r="K268" s="108"/>
      <c r="L268" s="108"/>
    </row>
    <row r="269" spans="5:12" ht="15.7" x14ac:dyDescent="0.5">
      <c r="E269" s="33"/>
      <c r="G269" s="48"/>
      <c r="H269" s="48"/>
      <c r="I269" s="35"/>
      <c r="K269" s="108"/>
      <c r="L269" s="108"/>
    </row>
    <row r="270" spans="5:12" ht="15.7" x14ac:dyDescent="0.5">
      <c r="E270" s="33"/>
      <c r="G270" s="48"/>
      <c r="H270" s="48"/>
      <c r="I270" s="35"/>
      <c r="K270" s="108"/>
      <c r="L270" s="108"/>
    </row>
    <row r="271" spans="5:12" ht="15.7" x14ac:dyDescent="0.5">
      <c r="E271" s="33"/>
      <c r="G271" s="48"/>
      <c r="H271" s="48"/>
      <c r="I271" s="35"/>
      <c r="K271" s="108"/>
      <c r="L271" s="108"/>
    </row>
    <row r="272" spans="5:12" ht="15.7" x14ac:dyDescent="0.5">
      <c r="E272" s="33"/>
      <c r="G272" s="48"/>
      <c r="H272" s="48"/>
      <c r="I272" s="35"/>
      <c r="K272" s="108"/>
      <c r="L272" s="108"/>
    </row>
    <row r="273" spans="5:12" ht="15.7" x14ac:dyDescent="0.5">
      <c r="E273" s="33"/>
      <c r="G273" s="48"/>
      <c r="H273" s="48"/>
      <c r="I273" s="35"/>
      <c r="K273" s="108"/>
      <c r="L273" s="108"/>
    </row>
    <row r="274" spans="5:12" ht="15.7" x14ac:dyDescent="0.5">
      <c r="E274" s="33"/>
      <c r="G274" s="48"/>
      <c r="H274" s="48"/>
      <c r="I274" s="35"/>
      <c r="K274" s="108"/>
      <c r="L274" s="108"/>
    </row>
    <row r="275" spans="5:12" ht="15.7" x14ac:dyDescent="0.5">
      <c r="E275" s="33"/>
      <c r="G275" s="48"/>
      <c r="H275" s="48"/>
      <c r="I275" s="35"/>
      <c r="K275" s="108"/>
      <c r="L275" s="108"/>
    </row>
    <row r="276" spans="5:12" ht="15.7" x14ac:dyDescent="0.5">
      <c r="E276" s="33"/>
      <c r="G276" s="48"/>
      <c r="H276" s="48"/>
      <c r="I276" s="35"/>
      <c r="K276" s="108"/>
      <c r="L276" s="108"/>
    </row>
    <row r="277" spans="5:12" ht="15.7" x14ac:dyDescent="0.5">
      <c r="E277" s="33"/>
      <c r="G277" s="48"/>
      <c r="H277" s="48"/>
      <c r="I277" s="35"/>
      <c r="K277" s="108"/>
      <c r="L277" s="108"/>
    </row>
    <row r="278" spans="5:12" ht="15.7" x14ac:dyDescent="0.5">
      <c r="E278" s="33"/>
      <c r="I278" s="35"/>
      <c r="K278" s="108"/>
      <c r="L278" s="108"/>
    </row>
    <row r="279" spans="5:12" ht="15.7" x14ac:dyDescent="0.5">
      <c r="E279" s="33"/>
      <c r="G279" s="48"/>
      <c r="H279" s="48"/>
      <c r="I279" s="35"/>
      <c r="K279" s="108"/>
      <c r="L279" s="108"/>
    </row>
    <row r="280" spans="5:12" ht="15.7" x14ac:dyDescent="0.5">
      <c r="E280" s="33"/>
      <c r="G280" s="48"/>
      <c r="H280" s="48"/>
      <c r="I280" s="35"/>
      <c r="K280" s="108"/>
      <c r="L280" s="108"/>
    </row>
    <row r="281" spans="5:12" ht="15.7" x14ac:dyDescent="0.5">
      <c r="E281" s="33"/>
      <c r="G281" s="48"/>
      <c r="H281" s="48"/>
      <c r="I281" s="35"/>
      <c r="K281" s="108"/>
      <c r="L281" s="108"/>
    </row>
    <row r="282" spans="5:12" ht="15.7" x14ac:dyDescent="0.5">
      <c r="E282" s="33"/>
      <c r="G282" s="48"/>
      <c r="H282" s="48"/>
      <c r="I282" s="35"/>
      <c r="K282" s="108"/>
      <c r="L282" s="108"/>
    </row>
    <row r="283" spans="5:12" ht="15.7" x14ac:dyDescent="0.5">
      <c r="E283" s="33"/>
      <c r="G283" s="48"/>
      <c r="H283" s="48"/>
      <c r="I283" s="35"/>
      <c r="K283" s="108"/>
      <c r="L283" s="108"/>
    </row>
    <row r="284" spans="5:12" ht="15.7" x14ac:dyDescent="0.5">
      <c r="E284" s="33"/>
      <c r="G284" s="48"/>
      <c r="H284" s="48"/>
      <c r="I284" s="35"/>
      <c r="K284" s="108"/>
      <c r="L284" s="108"/>
    </row>
    <row r="285" spans="5:12" ht="15.7" x14ac:dyDescent="0.5">
      <c r="E285" s="33"/>
      <c r="G285" s="48"/>
      <c r="H285" s="48"/>
      <c r="I285" s="35"/>
      <c r="K285" s="108"/>
      <c r="L285" s="108"/>
    </row>
    <row r="286" spans="5:12" ht="15.7" x14ac:dyDescent="0.5">
      <c r="E286" s="33"/>
      <c r="G286" s="48"/>
      <c r="H286" s="48"/>
      <c r="I286" s="35"/>
      <c r="K286" s="108"/>
      <c r="L286" s="108"/>
    </row>
    <row r="287" spans="5:12" ht="15.7" x14ac:dyDescent="0.5">
      <c r="E287" s="33"/>
      <c r="G287" s="48"/>
      <c r="H287" s="48"/>
      <c r="I287" s="35"/>
      <c r="K287" s="108"/>
      <c r="L287" s="108"/>
    </row>
    <row r="288" spans="5:12" ht="15.7" x14ac:dyDescent="0.5">
      <c r="E288" s="33"/>
      <c r="G288" s="48"/>
      <c r="H288" s="48"/>
      <c r="I288" s="35"/>
      <c r="K288" s="108"/>
      <c r="L288" s="108"/>
    </row>
    <row r="289" spans="5:12" ht="15.7" x14ac:dyDescent="0.5">
      <c r="E289" s="33"/>
      <c r="G289" s="48"/>
      <c r="H289" s="48"/>
      <c r="I289" s="35"/>
      <c r="K289" s="108"/>
      <c r="L289" s="108"/>
    </row>
    <row r="290" spans="5:12" ht="15.7" x14ac:dyDescent="0.5">
      <c r="E290" s="33"/>
      <c r="G290" s="48"/>
      <c r="H290" s="48"/>
      <c r="I290" s="35"/>
      <c r="K290" s="108"/>
      <c r="L290" s="108"/>
    </row>
    <row r="291" spans="5:12" ht="15.7" x14ac:dyDescent="0.5">
      <c r="E291" s="33"/>
      <c r="G291" s="48"/>
      <c r="H291" s="48"/>
      <c r="I291" s="35"/>
      <c r="K291" s="108"/>
      <c r="L291" s="108"/>
    </row>
    <row r="292" spans="5:12" ht="15.7" x14ac:dyDescent="0.5">
      <c r="E292" s="33"/>
      <c r="I292" s="35"/>
      <c r="K292" s="108"/>
      <c r="L292" s="108"/>
    </row>
    <row r="293" spans="5:12" ht="15.7" x14ac:dyDescent="0.5">
      <c r="E293" s="33"/>
      <c r="G293" s="48"/>
      <c r="H293" s="48"/>
      <c r="I293" s="35"/>
      <c r="K293" s="108"/>
      <c r="L293" s="108"/>
    </row>
    <row r="294" spans="5:12" ht="15.7" x14ac:dyDescent="0.5">
      <c r="E294" s="33"/>
      <c r="I294" s="35"/>
      <c r="K294" s="108"/>
      <c r="L294" s="108"/>
    </row>
    <row r="295" spans="5:12" ht="15.7" x14ac:dyDescent="0.5">
      <c r="E295" s="33"/>
      <c r="G295" s="48"/>
      <c r="H295" s="48"/>
      <c r="I295" s="35"/>
      <c r="K295" s="108"/>
      <c r="L295" s="108"/>
    </row>
    <row r="296" spans="5:12" ht="15.7" x14ac:dyDescent="0.5">
      <c r="E296" s="33"/>
      <c r="G296" s="48"/>
      <c r="H296" s="48"/>
      <c r="I296" s="35"/>
      <c r="K296" s="108"/>
      <c r="L296" s="108"/>
    </row>
    <row r="297" spans="5:12" ht="15.7" x14ac:dyDescent="0.5">
      <c r="E297" s="33"/>
      <c r="G297" s="48"/>
      <c r="H297" s="48"/>
      <c r="I297" s="35"/>
      <c r="K297" s="108"/>
      <c r="L297" s="108"/>
    </row>
    <row r="298" spans="5:12" ht="15.7" x14ac:dyDescent="0.5">
      <c r="E298" s="33"/>
      <c r="I298" s="35"/>
      <c r="K298" s="108"/>
      <c r="L298" s="108"/>
    </row>
    <row r="299" spans="5:12" ht="15.7" x14ac:dyDescent="0.5">
      <c r="E299" s="33"/>
      <c r="G299" s="48"/>
      <c r="H299" s="48"/>
      <c r="I299" s="35"/>
      <c r="K299" s="108"/>
      <c r="L299" s="108"/>
    </row>
    <row r="300" spans="5:12" ht="15.7" x14ac:dyDescent="0.5">
      <c r="E300" s="33"/>
      <c r="I300" s="35"/>
      <c r="K300" s="108"/>
      <c r="L300" s="108"/>
    </row>
    <row r="301" spans="5:12" ht="15.7" x14ac:dyDescent="0.5">
      <c r="E301" s="33"/>
      <c r="G301" s="48"/>
      <c r="H301" s="48"/>
      <c r="I301" s="35"/>
      <c r="K301" s="108"/>
      <c r="L301" s="108"/>
    </row>
    <row r="302" spans="5:12" ht="15.7" x14ac:dyDescent="0.5">
      <c r="E302" s="33"/>
      <c r="G302" s="48"/>
      <c r="H302" s="48"/>
      <c r="I302" s="35"/>
      <c r="K302" s="108"/>
      <c r="L302" s="108"/>
    </row>
    <row r="303" spans="5:12" ht="15.7" x14ac:dyDescent="0.5">
      <c r="E303" s="33"/>
      <c r="G303" s="48"/>
      <c r="H303" s="48"/>
      <c r="I303" s="35"/>
      <c r="K303" s="108"/>
      <c r="L303" s="108"/>
    </row>
    <row r="304" spans="5:12" ht="15.7" x14ac:dyDescent="0.5">
      <c r="E304" s="33"/>
      <c r="G304" s="48"/>
      <c r="H304" s="48"/>
      <c r="I304" s="35"/>
      <c r="K304" s="108"/>
      <c r="L304" s="108"/>
    </row>
    <row r="305" spans="5:12" ht="15.7" x14ac:dyDescent="0.5">
      <c r="E305" s="33"/>
      <c r="G305" s="48"/>
      <c r="H305" s="48"/>
      <c r="I305" s="35"/>
      <c r="K305" s="108"/>
      <c r="L305" s="108"/>
    </row>
    <row r="306" spans="5:12" ht="15.7" x14ac:dyDescent="0.5">
      <c r="E306" s="33"/>
      <c r="I306" s="35"/>
      <c r="K306" s="108"/>
      <c r="L306" s="108"/>
    </row>
    <row r="307" spans="5:12" ht="15.7" x14ac:dyDescent="0.5">
      <c r="E307" s="33"/>
      <c r="G307" s="48"/>
      <c r="H307" s="48"/>
      <c r="I307" s="35"/>
      <c r="K307" s="108"/>
      <c r="L307" s="108"/>
    </row>
    <row r="308" spans="5:12" ht="15.7" x14ac:dyDescent="0.5">
      <c r="E308" s="33"/>
      <c r="G308" s="48"/>
      <c r="H308" s="48"/>
      <c r="I308" s="35"/>
      <c r="K308" s="108"/>
      <c r="L308" s="108"/>
    </row>
    <row r="309" spans="5:12" ht="15.7" x14ac:dyDescent="0.5">
      <c r="E309" s="33"/>
      <c r="I309" s="35"/>
      <c r="K309" s="108"/>
      <c r="L309" s="108"/>
    </row>
    <row r="310" spans="5:12" ht="15.7" x14ac:dyDescent="0.5">
      <c r="E310" s="33"/>
      <c r="G310" s="48"/>
      <c r="H310" s="48"/>
      <c r="I310" s="35"/>
      <c r="K310" s="108"/>
      <c r="L310" s="108"/>
    </row>
    <row r="311" spans="5:12" ht="15.7" x14ac:dyDescent="0.5">
      <c r="E311" s="33"/>
      <c r="G311" s="48"/>
      <c r="H311" s="48"/>
      <c r="I311" s="35"/>
      <c r="K311" s="108"/>
      <c r="L311" s="108"/>
    </row>
    <row r="312" spans="5:12" ht="15.7" x14ac:dyDescent="0.5">
      <c r="E312" s="33"/>
      <c r="G312" s="48"/>
      <c r="H312" s="48"/>
      <c r="I312" s="35"/>
      <c r="K312" s="108"/>
      <c r="L312" s="108"/>
    </row>
    <row r="313" spans="5:12" ht="15.7" x14ac:dyDescent="0.5">
      <c r="E313" s="33"/>
      <c r="G313" s="48"/>
      <c r="H313" s="48"/>
      <c r="I313" s="35"/>
      <c r="K313" s="108"/>
      <c r="L313" s="108"/>
    </row>
    <row r="314" spans="5:12" ht="15.7" x14ac:dyDescent="0.5">
      <c r="E314" s="33"/>
      <c r="G314" s="48"/>
      <c r="H314" s="48"/>
      <c r="I314" s="35"/>
      <c r="K314" s="108"/>
      <c r="L314" s="108"/>
    </row>
    <row r="315" spans="5:12" ht="15.7" x14ac:dyDescent="0.5">
      <c r="E315" s="33"/>
      <c r="I315" s="35"/>
      <c r="K315" s="108"/>
      <c r="L315" s="108"/>
    </row>
    <row r="316" spans="5:12" ht="15.7" x14ac:dyDescent="0.5">
      <c r="E316" s="33"/>
      <c r="G316" s="48"/>
      <c r="H316" s="48"/>
      <c r="I316" s="35"/>
      <c r="K316" s="108"/>
      <c r="L316" s="108"/>
    </row>
    <row r="317" spans="5:12" ht="15.7" x14ac:dyDescent="0.5">
      <c r="E317" s="33"/>
      <c r="G317" s="48"/>
      <c r="H317" s="48"/>
      <c r="I317" s="35"/>
      <c r="K317" s="108"/>
      <c r="L317" s="108"/>
    </row>
    <row r="318" spans="5:12" ht="15.7" x14ac:dyDescent="0.5">
      <c r="E318" s="33"/>
      <c r="G318" s="48"/>
      <c r="H318" s="48"/>
      <c r="I318" s="35"/>
      <c r="K318" s="108"/>
      <c r="L318" s="108"/>
    </row>
    <row r="319" spans="5:12" ht="15.7" x14ac:dyDescent="0.5">
      <c r="E319" s="33"/>
      <c r="G319" s="48"/>
      <c r="H319" s="48"/>
      <c r="I319" s="35"/>
      <c r="K319" s="108"/>
      <c r="L319" s="108"/>
    </row>
    <row r="320" spans="5:12" ht="15.7" x14ac:dyDescent="0.5">
      <c r="E320" s="33"/>
      <c r="G320" s="48"/>
      <c r="H320" s="48"/>
      <c r="I320" s="35"/>
      <c r="K320" s="108"/>
      <c r="L320" s="108"/>
    </row>
    <row r="321" spans="5:12" ht="15.7" x14ac:dyDescent="0.5">
      <c r="E321" s="33"/>
      <c r="G321" s="48"/>
      <c r="H321" s="48"/>
      <c r="I321" s="35"/>
      <c r="K321" s="108"/>
      <c r="L321" s="108"/>
    </row>
    <row r="322" spans="5:12" ht="15.7" x14ac:dyDescent="0.5">
      <c r="E322" s="33"/>
      <c r="G322" s="48"/>
      <c r="H322" s="48"/>
      <c r="I322" s="35"/>
      <c r="K322" s="108"/>
      <c r="L322" s="108"/>
    </row>
    <row r="323" spans="5:12" ht="15.7" x14ac:dyDescent="0.5">
      <c r="E323" s="33"/>
      <c r="I323" s="35"/>
      <c r="K323" s="108"/>
      <c r="L323" s="108"/>
    </row>
    <row r="324" spans="5:12" ht="15.7" x14ac:dyDescent="0.5">
      <c r="E324" s="33"/>
      <c r="G324" s="48"/>
      <c r="I324" s="35"/>
      <c r="K324" s="108"/>
      <c r="L324" s="108"/>
    </row>
    <row r="325" spans="5:12" ht="15.7" x14ac:dyDescent="0.5">
      <c r="E325" s="33"/>
      <c r="I325" s="35"/>
      <c r="K325" s="108"/>
      <c r="L325" s="108"/>
    </row>
    <row r="326" spans="5:12" ht="15.7" x14ac:dyDescent="0.5">
      <c r="E326" s="33"/>
      <c r="G326" s="48"/>
      <c r="H326" s="48"/>
      <c r="I326" s="35"/>
      <c r="K326" s="108"/>
      <c r="L326" s="108"/>
    </row>
    <row r="327" spans="5:12" ht="15.7" x14ac:dyDescent="0.5">
      <c r="E327" s="33"/>
      <c r="I327" s="35"/>
      <c r="K327" s="108"/>
      <c r="L327" s="108"/>
    </row>
    <row r="328" spans="5:12" ht="15.7" x14ac:dyDescent="0.5">
      <c r="E328" s="33"/>
      <c r="G328" s="48"/>
      <c r="H328" s="48"/>
      <c r="I328" s="35"/>
      <c r="K328" s="108"/>
      <c r="L328" s="108"/>
    </row>
    <row r="329" spans="5:12" ht="15.7" x14ac:dyDescent="0.5">
      <c r="E329" s="33"/>
      <c r="G329" s="48"/>
      <c r="H329" s="48"/>
      <c r="I329" s="35"/>
      <c r="K329" s="108"/>
      <c r="L329" s="108"/>
    </row>
    <row r="330" spans="5:12" ht="15.7" x14ac:dyDescent="0.5">
      <c r="E330" s="33"/>
      <c r="G330" s="48"/>
      <c r="H330" s="48"/>
      <c r="I330" s="35"/>
      <c r="K330" s="108"/>
      <c r="L330" s="108"/>
    </row>
    <row r="331" spans="5:12" ht="15.7" x14ac:dyDescent="0.5">
      <c r="E331" s="33"/>
      <c r="G331" s="48"/>
      <c r="H331" s="48"/>
      <c r="I331" s="35"/>
      <c r="K331" s="108"/>
      <c r="L331" s="108"/>
    </row>
    <row r="332" spans="5:12" ht="15.7" x14ac:dyDescent="0.5">
      <c r="E332" s="33"/>
      <c r="G332" s="48"/>
      <c r="H332" s="48"/>
      <c r="I332" s="35"/>
      <c r="K332" s="108"/>
      <c r="L332" s="108"/>
    </row>
    <row r="333" spans="5:12" ht="15.7" x14ac:dyDescent="0.5">
      <c r="E333" s="33"/>
      <c r="G333" s="48"/>
      <c r="H333" s="48"/>
      <c r="I333" s="35"/>
      <c r="K333" s="108"/>
      <c r="L333" s="108"/>
    </row>
    <row r="334" spans="5:12" ht="15.7" x14ac:dyDescent="0.5">
      <c r="E334" s="33"/>
      <c r="G334" s="48"/>
      <c r="H334" s="48"/>
      <c r="I334" s="35"/>
      <c r="L334" s="108"/>
    </row>
    <row r="335" spans="5:12" ht="15.7" x14ac:dyDescent="0.5">
      <c r="E335" s="33"/>
      <c r="G335" s="48"/>
      <c r="H335" s="48"/>
      <c r="I335" s="35"/>
    </row>
    <row r="336" spans="5:12" ht="15.7" x14ac:dyDescent="0.5">
      <c r="E336" s="33"/>
      <c r="G336" s="48"/>
      <c r="H336" s="48"/>
      <c r="I336" s="35"/>
    </row>
    <row r="337" spans="5:9" ht="15.7" x14ac:dyDescent="0.5">
      <c r="E337" s="33"/>
      <c r="G337" s="48"/>
      <c r="H337" s="48"/>
      <c r="I337" s="35"/>
    </row>
    <row r="338" spans="5:9" ht="15.7" x14ac:dyDescent="0.5">
      <c r="E338" s="33"/>
      <c r="I338" s="35"/>
    </row>
    <row r="339" spans="5:9" ht="15.7" x14ac:dyDescent="0.5">
      <c r="E339" s="33"/>
      <c r="I339" s="35"/>
    </row>
    <row r="340" spans="5:9" ht="15.7" x14ac:dyDescent="0.5">
      <c r="E340" s="33"/>
      <c r="G340" s="48"/>
      <c r="H340" s="48"/>
      <c r="I340" s="35"/>
    </row>
    <row r="341" spans="5:9" ht="15.7" x14ac:dyDescent="0.5">
      <c r="E341" s="33"/>
      <c r="G341" s="48"/>
      <c r="H341" s="48"/>
      <c r="I341" s="35"/>
    </row>
    <row r="342" spans="5:9" ht="15.7" x14ac:dyDescent="0.5">
      <c r="E342" s="33"/>
      <c r="G342" s="48"/>
      <c r="H342" s="48"/>
      <c r="I342" s="35"/>
    </row>
    <row r="343" spans="5:9" ht="15.7" x14ac:dyDescent="0.5">
      <c r="E343" s="33"/>
      <c r="G343" s="48"/>
      <c r="H343" s="48"/>
      <c r="I343" s="35"/>
    </row>
    <row r="344" spans="5:9" ht="15.7" x14ac:dyDescent="0.5">
      <c r="E344" s="33"/>
      <c r="G344" s="48"/>
      <c r="H344" s="48"/>
      <c r="I344" s="35"/>
    </row>
    <row r="345" spans="5:9" ht="15.7" x14ac:dyDescent="0.5">
      <c r="E345" s="33"/>
      <c r="G345" s="48"/>
      <c r="H345" s="48"/>
      <c r="I345" s="35"/>
    </row>
    <row r="346" spans="5:9" ht="15.7" x14ac:dyDescent="0.5">
      <c r="E346" s="33"/>
      <c r="G346" s="48"/>
      <c r="H346" s="48"/>
      <c r="I346" s="35"/>
    </row>
    <row r="347" spans="5:9" ht="15.7" x14ac:dyDescent="0.5">
      <c r="E347" s="33"/>
      <c r="G347" s="48"/>
      <c r="H347" s="48"/>
      <c r="I347" s="35"/>
    </row>
    <row r="348" spans="5:9" ht="15.7" x14ac:dyDescent="0.5">
      <c r="E348" s="33"/>
      <c r="G348" s="48"/>
      <c r="H348" s="48"/>
      <c r="I348" s="35"/>
    </row>
    <row r="349" spans="5:9" ht="15.7" x14ac:dyDescent="0.5">
      <c r="E349" s="33"/>
      <c r="G349" s="48"/>
      <c r="H349" s="48"/>
      <c r="I349" s="35"/>
    </row>
    <row r="350" spans="5:9" ht="15.7" x14ac:dyDescent="0.5">
      <c r="E350" s="33"/>
      <c r="G350" s="48"/>
      <c r="H350" s="48"/>
      <c r="I350" s="35"/>
    </row>
    <row r="351" spans="5:9" ht="15.7" x14ac:dyDescent="0.5">
      <c r="E351" s="33"/>
      <c r="G351" s="48"/>
      <c r="H351" s="48"/>
      <c r="I351" s="35"/>
    </row>
    <row r="352" spans="5:9" ht="15.7" x14ac:dyDescent="0.5">
      <c r="E352" s="33"/>
      <c r="G352" s="48"/>
      <c r="H352" s="48"/>
      <c r="I352" s="35"/>
    </row>
    <row r="353" spans="5:9" ht="15.7" x14ac:dyDescent="0.5">
      <c r="E353" s="33"/>
      <c r="G353" s="48"/>
      <c r="H353" s="48"/>
      <c r="I353" s="35"/>
    </row>
    <row r="354" spans="5:9" ht="15.7" x14ac:dyDescent="0.5">
      <c r="E354" s="33"/>
      <c r="I354" s="35"/>
    </row>
    <row r="355" spans="5:9" ht="15.7" x14ac:dyDescent="0.5">
      <c r="E355" s="33"/>
      <c r="G355" s="48"/>
      <c r="H355" s="48"/>
      <c r="I355" s="35"/>
    </row>
    <row r="356" spans="5:9" ht="15.7" x14ac:dyDescent="0.5">
      <c r="E356" s="33"/>
      <c r="G356" s="48"/>
      <c r="H356" s="48"/>
      <c r="I356" s="35"/>
    </row>
    <row r="357" spans="5:9" ht="15.7" x14ac:dyDescent="0.5">
      <c r="E357" s="33"/>
      <c r="G357" s="48"/>
      <c r="H357" s="48"/>
      <c r="I357" s="35"/>
    </row>
    <row r="358" spans="5:9" ht="15.7" x14ac:dyDescent="0.5">
      <c r="E358" s="33"/>
      <c r="G358" s="48"/>
      <c r="H358" s="48"/>
      <c r="I358" s="35"/>
    </row>
    <row r="359" spans="5:9" ht="15.7" x14ac:dyDescent="0.5">
      <c r="E359" s="33"/>
      <c r="G359" s="48"/>
      <c r="H359" s="48"/>
      <c r="I359" s="35"/>
    </row>
    <row r="360" spans="5:9" ht="15.7" x14ac:dyDescent="0.5">
      <c r="E360" s="33"/>
      <c r="I360" s="35"/>
    </row>
    <row r="361" spans="5:9" ht="15.7" x14ac:dyDescent="0.5">
      <c r="E361" s="33"/>
      <c r="G361" s="48"/>
      <c r="H361" s="48"/>
      <c r="I361" s="35"/>
    </row>
    <row r="362" spans="5:9" ht="15.7" x14ac:dyDescent="0.5">
      <c r="E362" s="33"/>
      <c r="G362" s="48"/>
      <c r="H362" s="48"/>
      <c r="I362" s="35"/>
    </row>
    <row r="363" spans="5:9" ht="15.7" x14ac:dyDescent="0.5">
      <c r="E363" s="33"/>
      <c r="G363" s="48"/>
      <c r="H363" s="48"/>
      <c r="I363" s="35"/>
    </row>
    <row r="364" spans="5:9" ht="15.7" x14ac:dyDescent="0.5">
      <c r="E364" s="33"/>
      <c r="G364" s="48"/>
      <c r="H364" s="48"/>
      <c r="I364" s="35"/>
    </row>
    <row r="365" spans="5:9" ht="15.7" x14ac:dyDescent="0.5">
      <c r="E365" s="33"/>
      <c r="G365" s="48"/>
      <c r="H365" s="48"/>
      <c r="I365" s="35"/>
    </row>
    <row r="366" spans="5:9" ht="15.7" x14ac:dyDescent="0.5">
      <c r="E366" s="33"/>
      <c r="G366" s="48"/>
      <c r="H366" s="48"/>
      <c r="I366" s="35"/>
    </row>
    <row r="367" spans="5:9" ht="15.7" x14ac:dyDescent="0.5">
      <c r="E367" s="33"/>
      <c r="G367" s="48"/>
      <c r="H367" s="48"/>
      <c r="I367" s="35"/>
    </row>
    <row r="368" spans="5:9" ht="15.7" x14ac:dyDescent="0.5">
      <c r="E368" s="33"/>
      <c r="G368" s="48"/>
      <c r="H368" s="48"/>
      <c r="I368" s="35"/>
    </row>
    <row r="369" spans="5:9" ht="15.7" x14ac:dyDescent="0.5">
      <c r="E369" s="33"/>
      <c r="I369" s="35"/>
    </row>
    <row r="370" spans="5:9" ht="15.7" x14ac:dyDescent="0.5">
      <c r="E370" s="33"/>
      <c r="G370" s="48"/>
      <c r="H370" s="48"/>
      <c r="I370" s="35"/>
    </row>
    <row r="371" spans="5:9" ht="15.7" x14ac:dyDescent="0.5">
      <c r="E371" s="33"/>
      <c r="G371" s="48"/>
      <c r="H371" s="48"/>
      <c r="I371" s="35"/>
    </row>
    <row r="372" spans="5:9" ht="15.7" x14ac:dyDescent="0.5">
      <c r="E372" s="33"/>
      <c r="G372" s="48"/>
      <c r="H372" s="48"/>
      <c r="I372" s="35"/>
    </row>
    <row r="373" spans="5:9" ht="15.7" x14ac:dyDescent="0.5">
      <c r="E373" s="33"/>
      <c r="G373" s="48"/>
      <c r="H373" s="48"/>
      <c r="I373" s="35"/>
    </row>
    <row r="374" spans="5:9" ht="15.7" x14ac:dyDescent="0.5">
      <c r="E374" s="33"/>
      <c r="G374" s="48"/>
      <c r="H374" s="48"/>
      <c r="I374" s="35"/>
    </row>
    <row r="375" spans="5:9" ht="15.7" x14ac:dyDescent="0.5">
      <c r="E375" s="33"/>
      <c r="G375" s="48"/>
      <c r="H375" s="48"/>
      <c r="I375" s="35"/>
    </row>
    <row r="376" spans="5:9" ht="15.7" x14ac:dyDescent="0.5">
      <c r="E376" s="33"/>
      <c r="G376" s="48"/>
      <c r="H376" s="48"/>
      <c r="I376" s="35"/>
    </row>
    <row r="377" spans="5:9" ht="15.7" x14ac:dyDescent="0.5">
      <c r="E377" s="33"/>
      <c r="I377" s="35"/>
    </row>
    <row r="378" spans="5:9" ht="15.7" x14ac:dyDescent="0.5">
      <c r="E378" s="33"/>
      <c r="G378" s="48"/>
      <c r="H378" s="48"/>
      <c r="I378" s="35"/>
    </row>
    <row r="379" spans="5:9" ht="15.7" x14ac:dyDescent="0.5">
      <c r="E379" s="33"/>
      <c r="I379" s="35"/>
    </row>
    <row r="380" spans="5:9" ht="15.7" x14ac:dyDescent="0.5">
      <c r="E380" s="33"/>
      <c r="G380" s="48"/>
      <c r="H380" s="48"/>
      <c r="I380" s="35"/>
    </row>
    <row r="381" spans="5:9" ht="15.7" x14ac:dyDescent="0.5">
      <c r="E381" s="33"/>
      <c r="G381" s="48"/>
      <c r="H381" s="48"/>
      <c r="I381" s="35"/>
    </row>
    <row r="382" spans="5:9" ht="15.7" x14ac:dyDescent="0.5">
      <c r="E382" s="33"/>
      <c r="I382" s="35"/>
    </row>
    <row r="383" spans="5:9" ht="15.7" x14ac:dyDescent="0.5">
      <c r="E383" s="33"/>
      <c r="G383" s="48"/>
      <c r="H383" s="48"/>
      <c r="I383" s="35"/>
    </row>
    <row r="384" spans="5:9" ht="15.7" x14ac:dyDescent="0.5">
      <c r="E384" s="33"/>
      <c r="G384" s="48"/>
      <c r="H384" s="48"/>
      <c r="I384" s="35"/>
    </row>
    <row r="385" spans="5:9" ht="15.7" x14ac:dyDescent="0.5">
      <c r="E385" s="33"/>
      <c r="G385" s="48"/>
      <c r="H385" s="48"/>
      <c r="I385" s="35"/>
    </row>
    <row r="386" spans="5:9" ht="15.7" x14ac:dyDescent="0.5">
      <c r="E386" s="33"/>
      <c r="G386" s="48"/>
      <c r="H386" s="48"/>
      <c r="I386" s="35"/>
    </row>
    <row r="387" spans="5:9" ht="15.7" x14ac:dyDescent="0.5">
      <c r="E387" s="33"/>
      <c r="I387" s="35"/>
    </row>
    <row r="388" spans="5:9" ht="15.7" x14ac:dyDescent="0.5">
      <c r="E388" s="33"/>
      <c r="G388" s="48"/>
      <c r="H388" s="48"/>
      <c r="I388" s="35"/>
    </row>
    <row r="389" spans="5:9" ht="15.7" x14ac:dyDescent="0.5">
      <c r="E389" s="33"/>
      <c r="G389" s="48"/>
      <c r="H389" s="48"/>
      <c r="I389" s="35"/>
    </row>
    <row r="390" spans="5:9" ht="15.7" x14ac:dyDescent="0.5">
      <c r="E390" s="33"/>
      <c r="G390" s="48"/>
      <c r="H390" s="48"/>
      <c r="I390" s="35"/>
    </row>
    <row r="391" spans="5:9" ht="15.7" x14ac:dyDescent="0.5">
      <c r="E391" s="33"/>
      <c r="G391" s="48"/>
      <c r="H391" s="48"/>
      <c r="I391" s="35"/>
    </row>
    <row r="392" spans="5:9" ht="15.7" x14ac:dyDescent="0.5">
      <c r="E392" s="33"/>
      <c r="G392" s="48"/>
      <c r="H392" s="48"/>
      <c r="I392" s="35"/>
    </row>
    <row r="393" spans="5:9" ht="15.7" x14ac:dyDescent="0.5">
      <c r="E393" s="33"/>
      <c r="G393" s="48"/>
      <c r="H393" s="48"/>
      <c r="I393" s="35"/>
    </row>
    <row r="394" spans="5:9" ht="15.7" x14ac:dyDescent="0.5">
      <c r="E394" s="33"/>
      <c r="G394" s="48"/>
      <c r="H394" s="48"/>
      <c r="I394" s="35"/>
    </row>
    <row r="395" spans="5:9" ht="15.7" x14ac:dyDescent="0.5">
      <c r="E395" s="33"/>
      <c r="I395" s="35"/>
    </row>
    <row r="396" spans="5:9" ht="15.7" x14ac:dyDescent="0.5">
      <c r="E396" s="33"/>
      <c r="G396" s="48"/>
      <c r="H396" s="48"/>
      <c r="I396" s="35"/>
    </row>
    <row r="397" spans="5:9" ht="15.7" x14ac:dyDescent="0.5">
      <c r="E397" s="33"/>
      <c r="G397" s="48"/>
      <c r="H397" s="48"/>
      <c r="I397" s="35"/>
    </row>
    <row r="398" spans="5:9" ht="15.7" x14ac:dyDescent="0.5">
      <c r="E398" s="33"/>
      <c r="G398" s="48"/>
      <c r="H398" s="48"/>
      <c r="I398" s="35"/>
    </row>
    <row r="399" spans="5:9" ht="15.7" x14ac:dyDescent="0.5">
      <c r="E399" s="33"/>
      <c r="G399" s="48"/>
      <c r="H399" s="48"/>
      <c r="I399" s="35"/>
    </row>
    <row r="400" spans="5:9" ht="15.7" x14ac:dyDescent="0.5">
      <c r="E400" s="33"/>
      <c r="G400" s="48"/>
      <c r="H400" s="48"/>
      <c r="I400" s="35"/>
    </row>
    <row r="401" spans="5:9" ht="15.7" x14ac:dyDescent="0.5">
      <c r="E401" s="33"/>
      <c r="G401" s="48"/>
      <c r="H401" s="48"/>
      <c r="I401" s="35"/>
    </row>
    <row r="402" spans="5:9" ht="15.7" x14ac:dyDescent="0.5">
      <c r="E402" s="33"/>
      <c r="G402" s="48"/>
      <c r="H402" s="48"/>
      <c r="I402" s="35"/>
    </row>
    <row r="403" spans="5:9" ht="15.7" x14ac:dyDescent="0.5">
      <c r="E403" s="33"/>
      <c r="G403" s="48"/>
      <c r="H403" s="48"/>
      <c r="I403" s="35"/>
    </row>
    <row r="404" spans="5:9" ht="15.7" x14ac:dyDescent="0.5">
      <c r="E404" s="33"/>
      <c r="G404" s="48"/>
      <c r="H404" s="48"/>
      <c r="I404" s="35"/>
    </row>
    <row r="405" spans="5:9" ht="15.7" x14ac:dyDescent="0.5">
      <c r="E405" s="33"/>
      <c r="G405" s="48"/>
      <c r="H405" s="48"/>
      <c r="I405" s="35"/>
    </row>
    <row r="406" spans="5:9" ht="15.7" x14ac:dyDescent="0.5">
      <c r="E406" s="33"/>
      <c r="G406" s="48"/>
      <c r="H406" s="48"/>
      <c r="I406" s="35"/>
    </row>
    <row r="407" spans="5:9" ht="15.7" x14ac:dyDescent="0.5">
      <c r="E407" s="33"/>
      <c r="G407" s="48"/>
      <c r="H407" s="48"/>
      <c r="I407" s="35"/>
    </row>
    <row r="408" spans="5:9" ht="15.7" x14ac:dyDescent="0.5">
      <c r="E408" s="33"/>
      <c r="G408" s="48"/>
      <c r="H408" s="48"/>
      <c r="I408" s="35"/>
    </row>
    <row r="409" spans="5:9" ht="15.7" x14ac:dyDescent="0.5">
      <c r="E409" s="33"/>
      <c r="G409" s="48"/>
      <c r="H409" s="48"/>
      <c r="I409" s="35"/>
    </row>
    <row r="410" spans="5:9" ht="15.7" x14ac:dyDescent="0.5">
      <c r="E410" s="33"/>
      <c r="G410" s="48"/>
      <c r="H410" s="48"/>
      <c r="I410" s="35"/>
    </row>
    <row r="411" spans="5:9" ht="15.7" x14ac:dyDescent="0.5">
      <c r="E411" s="33"/>
      <c r="G411" s="48"/>
      <c r="H411" s="48"/>
      <c r="I411" s="35"/>
    </row>
    <row r="412" spans="5:9" ht="15.7" x14ac:dyDescent="0.5">
      <c r="E412" s="33"/>
      <c r="G412" s="48"/>
      <c r="H412" s="48"/>
      <c r="I412" s="35"/>
    </row>
    <row r="413" spans="5:9" ht="15.7" x14ac:dyDescent="0.5">
      <c r="E413" s="33"/>
      <c r="G413" s="48"/>
      <c r="H413" s="48"/>
      <c r="I413" s="35"/>
    </row>
    <row r="414" spans="5:9" ht="15.7" x14ac:dyDescent="0.5">
      <c r="E414" s="33"/>
      <c r="G414" s="48"/>
      <c r="H414" s="48"/>
      <c r="I414" s="35"/>
    </row>
    <row r="415" spans="5:9" ht="15.7" x14ac:dyDescent="0.5">
      <c r="E415" s="33"/>
      <c r="G415" s="48"/>
      <c r="H415" s="48"/>
      <c r="I415" s="35"/>
    </row>
    <row r="416" spans="5:9" ht="15.7" x14ac:dyDescent="0.5">
      <c r="E416" s="33"/>
      <c r="G416" s="48"/>
      <c r="H416" s="48"/>
      <c r="I416" s="35"/>
    </row>
    <row r="417" spans="5:9" ht="15.7" x14ac:dyDescent="0.5">
      <c r="E417" s="33"/>
      <c r="G417" s="48"/>
      <c r="H417" s="48"/>
      <c r="I417" s="35"/>
    </row>
    <row r="418" spans="5:9" ht="15.7" x14ac:dyDescent="0.5">
      <c r="E418" s="33"/>
      <c r="G418" s="48"/>
      <c r="H418" s="48"/>
      <c r="I418" s="35"/>
    </row>
    <row r="419" spans="5:9" ht="15.7" x14ac:dyDescent="0.5">
      <c r="E419" s="33"/>
      <c r="G419" s="48"/>
      <c r="H419" s="48"/>
      <c r="I419" s="35"/>
    </row>
    <row r="420" spans="5:9" ht="15.7" x14ac:dyDescent="0.5">
      <c r="E420" s="33"/>
      <c r="G420" s="48"/>
      <c r="H420" s="48"/>
      <c r="I420" s="35"/>
    </row>
    <row r="421" spans="5:9" ht="40.200000000000003" customHeight="1" x14ac:dyDescent="0.5">
      <c r="E421" s="33"/>
      <c r="G421" s="48"/>
      <c r="H421" s="48"/>
      <c r="I421" s="35"/>
    </row>
    <row r="422" spans="5:9" ht="15.7" x14ac:dyDescent="0.5">
      <c r="E422" s="33"/>
      <c r="G422" s="48"/>
      <c r="H422" s="48"/>
      <c r="I422" s="35"/>
    </row>
    <row r="423" spans="5:9" ht="15.7" x14ac:dyDescent="0.5">
      <c r="E423" s="33"/>
      <c r="G423" s="48"/>
      <c r="H423" s="48"/>
      <c r="I423" s="35"/>
    </row>
    <row r="424" spans="5:9" ht="15.7" x14ac:dyDescent="0.5">
      <c r="E424" s="33"/>
      <c r="G424" s="48"/>
      <c r="H424" s="48"/>
      <c r="I424" s="35"/>
    </row>
    <row r="425" spans="5:9" ht="15.7" x14ac:dyDescent="0.5">
      <c r="E425" s="33"/>
      <c r="G425" s="48"/>
      <c r="H425" s="48"/>
      <c r="I425" s="35"/>
    </row>
    <row r="426" spans="5:9" ht="15.7" x14ac:dyDescent="0.5">
      <c r="E426" s="33"/>
      <c r="G426" s="48"/>
      <c r="H426" s="48"/>
      <c r="I426" s="35"/>
    </row>
    <row r="427" spans="5:9" ht="15.7" x14ac:dyDescent="0.5">
      <c r="E427" s="33"/>
      <c r="G427" s="48"/>
      <c r="H427" s="48"/>
      <c r="I427" s="35"/>
    </row>
    <row r="428" spans="5:9" ht="15.7" x14ac:dyDescent="0.5">
      <c r="E428" s="33"/>
      <c r="G428" s="48"/>
      <c r="H428" s="48"/>
      <c r="I428" s="35"/>
    </row>
    <row r="429" spans="5:9" ht="33" customHeight="1" x14ac:dyDescent="0.5">
      <c r="E429" s="33"/>
      <c r="G429" s="48"/>
      <c r="H429" s="48"/>
      <c r="I429" s="35"/>
    </row>
    <row r="430" spans="5:9" ht="33" customHeight="1" x14ac:dyDescent="0.5">
      <c r="E430" s="33"/>
      <c r="G430" s="48"/>
      <c r="H430" s="48"/>
      <c r="I430" s="35"/>
    </row>
    <row r="431" spans="5:9" ht="15.7" x14ac:dyDescent="0.5">
      <c r="E431" s="33"/>
      <c r="G431" s="48"/>
      <c r="H431" s="48"/>
      <c r="I431" s="35"/>
    </row>
    <row r="432" spans="5:9" ht="15.7" x14ac:dyDescent="0.5">
      <c r="E432" s="33"/>
      <c r="G432" s="48"/>
      <c r="H432" s="48"/>
      <c r="I432" s="35"/>
    </row>
    <row r="433" spans="5:9" ht="15.7" x14ac:dyDescent="0.5">
      <c r="E433" s="33"/>
      <c r="G433" s="48"/>
      <c r="H433" s="48"/>
      <c r="I433" s="35"/>
    </row>
    <row r="434" spans="5:9" ht="15.7" x14ac:dyDescent="0.5">
      <c r="E434" s="33"/>
      <c r="G434" s="48"/>
      <c r="H434" s="48"/>
      <c r="I434" s="35"/>
    </row>
    <row r="435" spans="5:9" ht="15.7" x14ac:dyDescent="0.5">
      <c r="E435" s="33"/>
      <c r="G435" s="48"/>
      <c r="H435" s="48"/>
      <c r="I435" s="35"/>
    </row>
    <row r="436" spans="5:9" ht="15.7" x14ac:dyDescent="0.5">
      <c r="E436" s="33"/>
      <c r="G436" s="48"/>
      <c r="H436" s="48"/>
      <c r="I436" s="35"/>
    </row>
    <row r="437" spans="5:9" ht="15.7" x14ac:dyDescent="0.5">
      <c r="E437" s="33"/>
      <c r="G437" s="48"/>
      <c r="H437" s="48"/>
      <c r="I437" s="35"/>
    </row>
    <row r="438" spans="5:9" ht="15.7" x14ac:dyDescent="0.5">
      <c r="E438" s="33"/>
      <c r="G438" s="48"/>
      <c r="H438" s="48"/>
      <c r="I438" s="35"/>
    </row>
    <row r="439" spans="5:9" ht="15.7" x14ac:dyDescent="0.5">
      <c r="E439" s="33"/>
      <c r="G439" s="48"/>
      <c r="H439" s="48"/>
      <c r="I439" s="35"/>
    </row>
    <row r="440" spans="5:9" ht="15.7" x14ac:dyDescent="0.5">
      <c r="E440" s="33"/>
      <c r="G440" s="48"/>
      <c r="H440" s="48"/>
      <c r="I440" s="35"/>
    </row>
    <row r="441" spans="5:9" ht="15.7" x14ac:dyDescent="0.5">
      <c r="E441" s="33"/>
      <c r="G441" s="48"/>
      <c r="H441" s="48"/>
      <c r="I441" s="35"/>
    </row>
    <row r="442" spans="5:9" ht="15.7" x14ac:dyDescent="0.5">
      <c r="E442" s="33"/>
      <c r="G442" s="48"/>
      <c r="H442" s="48"/>
      <c r="I442" s="35"/>
    </row>
    <row r="443" spans="5:9" ht="15.7" x14ac:dyDescent="0.5">
      <c r="E443" s="33"/>
      <c r="G443" s="48"/>
      <c r="H443" s="48"/>
      <c r="I443" s="35"/>
    </row>
    <row r="444" spans="5:9" ht="15.7" x14ac:dyDescent="0.5">
      <c r="E444" s="33"/>
      <c r="G444" s="48"/>
      <c r="H444" s="48"/>
      <c r="I444" s="35"/>
    </row>
    <row r="445" spans="5:9" ht="15.7" x14ac:dyDescent="0.5">
      <c r="E445" s="33"/>
      <c r="G445" s="48"/>
      <c r="H445" s="48"/>
      <c r="I445" s="35"/>
    </row>
    <row r="446" spans="5:9" ht="15.7" x14ac:dyDescent="0.5">
      <c r="E446" s="33"/>
      <c r="G446" s="48"/>
      <c r="H446" s="48"/>
      <c r="I446" s="35"/>
    </row>
    <row r="447" spans="5:9" ht="15.7" x14ac:dyDescent="0.5">
      <c r="E447" s="33"/>
      <c r="G447" s="48"/>
      <c r="H447" s="48"/>
      <c r="I447" s="35"/>
    </row>
    <row r="448" spans="5:9" ht="15.7" x14ac:dyDescent="0.5">
      <c r="E448" s="33"/>
      <c r="G448" s="48"/>
      <c r="H448" s="48"/>
      <c r="I448" s="35"/>
    </row>
    <row r="449" spans="5:9" ht="15.7" x14ac:dyDescent="0.5">
      <c r="E449" s="33"/>
      <c r="G449" s="48"/>
      <c r="H449" s="48"/>
      <c r="I449" s="35"/>
    </row>
    <row r="450" spans="5:9" ht="15.7" x14ac:dyDescent="0.5">
      <c r="E450" s="33"/>
      <c r="G450" s="48"/>
      <c r="H450" s="48"/>
      <c r="I450" s="35"/>
    </row>
    <row r="451" spans="5:9" ht="15.7" x14ac:dyDescent="0.5">
      <c r="E451" s="33"/>
      <c r="G451" s="48"/>
      <c r="H451" s="48"/>
      <c r="I451" s="35"/>
    </row>
    <row r="452" spans="5:9" ht="15.7" x14ac:dyDescent="0.5">
      <c r="E452" s="33"/>
      <c r="G452" s="48"/>
      <c r="H452" s="48"/>
      <c r="I452" s="35"/>
    </row>
    <row r="453" spans="5:9" ht="15.7" x14ac:dyDescent="0.5">
      <c r="E453" s="33"/>
      <c r="G453" s="48"/>
      <c r="H453" s="48"/>
      <c r="I453" s="35"/>
    </row>
    <row r="454" spans="5:9" ht="15.7" x14ac:dyDescent="0.5">
      <c r="E454" s="33"/>
      <c r="G454" s="48"/>
      <c r="H454" s="48"/>
      <c r="I454" s="35"/>
    </row>
    <row r="455" spans="5:9" ht="15.7" x14ac:dyDescent="0.5">
      <c r="E455" s="33"/>
      <c r="G455" s="48"/>
      <c r="H455" s="48"/>
      <c r="I455" s="35"/>
    </row>
    <row r="456" spans="5:9" ht="15.7" x14ac:dyDescent="0.5">
      <c r="E456" s="33"/>
      <c r="G456" s="48"/>
      <c r="H456" s="48"/>
      <c r="I456" s="35"/>
    </row>
    <row r="457" spans="5:9" ht="15.7" x14ac:dyDescent="0.5">
      <c r="E457" s="33"/>
      <c r="G457" s="48"/>
      <c r="H457" s="48"/>
      <c r="I457" s="35"/>
    </row>
    <row r="458" spans="5:9" ht="15.7" x14ac:dyDescent="0.5">
      <c r="E458" s="33"/>
      <c r="G458" s="48"/>
      <c r="H458" s="48"/>
      <c r="I458" s="35"/>
    </row>
    <row r="459" spans="5:9" ht="15.7" x14ac:dyDescent="0.5">
      <c r="E459" s="33"/>
      <c r="G459" s="48"/>
      <c r="H459" s="48"/>
      <c r="I459" s="35"/>
    </row>
    <row r="460" spans="5:9" ht="15.7" x14ac:dyDescent="0.5">
      <c r="E460" s="33"/>
      <c r="G460" s="48"/>
      <c r="H460" s="48"/>
      <c r="I460" s="35"/>
    </row>
    <row r="461" spans="5:9" ht="15.7" x14ac:dyDescent="0.5">
      <c r="E461" s="33"/>
      <c r="G461" s="48"/>
      <c r="H461" s="48"/>
      <c r="I461" s="35"/>
    </row>
    <row r="462" spans="5:9" ht="15.7" x14ac:dyDescent="0.5">
      <c r="E462" s="33"/>
      <c r="G462" s="48"/>
      <c r="H462" s="48"/>
      <c r="I462" s="35"/>
    </row>
    <row r="463" spans="5:9" ht="32.25" customHeight="1" x14ac:dyDescent="0.5">
      <c r="E463" s="33"/>
      <c r="G463" s="48"/>
      <c r="H463" s="48"/>
      <c r="I463" s="35"/>
    </row>
    <row r="464" spans="5:9" ht="15.7" x14ac:dyDescent="0.5">
      <c r="E464" s="33"/>
      <c r="G464" s="48"/>
      <c r="H464" s="48"/>
      <c r="I464" s="35"/>
    </row>
    <row r="465" spans="5:9" ht="15.7" x14ac:dyDescent="0.5">
      <c r="E465" s="33"/>
      <c r="G465" s="48"/>
      <c r="H465" s="48"/>
      <c r="I465" s="35"/>
    </row>
    <row r="466" spans="5:9" ht="15.7" x14ac:dyDescent="0.5">
      <c r="E466" s="33"/>
      <c r="G466" s="48"/>
      <c r="H466" s="48"/>
      <c r="I466" s="35"/>
    </row>
    <row r="467" spans="5:9" ht="15.7" x14ac:dyDescent="0.5">
      <c r="E467" s="33"/>
      <c r="G467" s="48"/>
      <c r="H467" s="48"/>
      <c r="I467" s="35"/>
    </row>
    <row r="468" spans="5:9" ht="15.7" x14ac:dyDescent="0.5">
      <c r="E468" s="33"/>
      <c r="G468" s="48"/>
      <c r="H468" s="48"/>
      <c r="I468" s="35"/>
    </row>
    <row r="469" spans="5:9" ht="15.7" x14ac:dyDescent="0.5">
      <c r="E469" s="33"/>
      <c r="G469" s="48"/>
      <c r="H469" s="48"/>
      <c r="I469" s="35"/>
    </row>
    <row r="470" spans="5:9" ht="15.7" x14ac:dyDescent="0.5">
      <c r="E470" s="33"/>
      <c r="G470" s="48"/>
      <c r="H470" s="48"/>
      <c r="I470" s="35"/>
    </row>
    <row r="471" spans="5:9" ht="15.7" x14ac:dyDescent="0.5">
      <c r="E471" s="33"/>
      <c r="G471" s="48"/>
      <c r="H471" s="48"/>
      <c r="I471" s="35"/>
    </row>
    <row r="472" spans="5:9" ht="15.7" x14ac:dyDescent="0.5">
      <c r="E472" s="33"/>
      <c r="G472" s="48"/>
      <c r="H472" s="48"/>
      <c r="I472" s="35"/>
    </row>
    <row r="473" spans="5:9" ht="15.7" x14ac:dyDescent="0.5">
      <c r="E473" s="33"/>
      <c r="G473" s="48"/>
      <c r="H473" s="48"/>
      <c r="I473" s="35"/>
    </row>
    <row r="474" spans="5:9" ht="15.7" x14ac:dyDescent="0.5">
      <c r="E474" s="33"/>
      <c r="G474" s="48"/>
      <c r="H474" s="48"/>
      <c r="I474" s="35"/>
    </row>
    <row r="475" spans="5:9" ht="15.7" x14ac:dyDescent="0.5">
      <c r="E475" s="33"/>
      <c r="G475" s="48"/>
      <c r="H475" s="48"/>
      <c r="I475" s="35"/>
    </row>
    <row r="476" spans="5:9" ht="15.7" x14ac:dyDescent="0.5">
      <c r="E476" s="33"/>
      <c r="G476" s="48"/>
      <c r="H476" s="48"/>
      <c r="I476" s="35"/>
    </row>
    <row r="477" spans="5:9" ht="15.7" x14ac:dyDescent="0.5">
      <c r="E477" s="33"/>
      <c r="G477" s="48"/>
      <c r="H477" s="48"/>
      <c r="I477" s="35"/>
    </row>
    <row r="478" spans="5:9" ht="15.7" x14ac:dyDescent="0.5">
      <c r="E478" s="33"/>
      <c r="G478" s="48"/>
      <c r="H478" s="48"/>
      <c r="I478" s="35"/>
    </row>
    <row r="479" spans="5:9" ht="15.7" x14ac:dyDescent="0.5">
      <c r="E479" s="33"/>
      <c r="G479" s="48"/>
      <c r="H479" s="48"/>
      <c r="I479" s="35"/>
    </row>
    <row r="480" spans="5:9" ht="15.7" x14ac:dyDescent="0.5">
      <c r="E480" s="33"/>
      <c r="G480" s="48"/>
      <c r="H480" s="48"/>
      <c r="I480" s="35"/>
    </row>
    <row r="481" spans="5:9" ht="15.7" x14ac:dyDescent="0.5">
      <c r="E481" s="33"/>
      <c r="G481" s="48"/>
      <c r="H481" s="48"/>
      <c r="I481" s="35"/>
    </row>
    <row r="482" spans="5:9" ht="15.7" x14ac:dyDescent="0.5">
      <c r="E482" s="33"/>
      <c r="G482" s="48"/>
      <c r="H482" s="48"/>
      <c r="I482" s="35"/>
    </row>
    <row r="483" spans="5:9" ht="15.7" x14ac:dyDescent="0.5">
      <c r="E483" s="33"/>
      <c r="G483" s="48"/>
      <c r="H483" s="48"/>
      <c r="I483" s="35"/>
    </row>
    <row r="484" spans="5:9" ht="15.7" x14ac:dyDescent="0.5">
      <c r="E484" s="33"/>
      <c r="G484" s="48"/>
      <c r="H484" s="48"/>
      <c r="I484" s="35"/>
    </row>
    <row r="485" spans="5:9" ht="15.7" x14ac:dyDescent="0.5">
      <c r="E485" s="33"/>
      <c r="G485" s="48"/>
      <c r="H485" s="48"/>
      <c r="I485" s="35"/>
    </row>
    <row r="486" spans="5:9" ht="15.7" x14ac:dyDescent="0.5">
      <c r="E486" s="33"/>
      <c r="G486" s="48"/>
      <c r="H486" s="48"/>
      <c r="I486" s="35"/>
    </row>
    <row r="487" spans="5:9" ht="15.7" x14ac:dyDescent="0.5">
      <c r="E487" s="33"/>
      <c r="G487" s="48"/>
      <c r="H487" s="48"/>
      <c r="I487" s="35"/>
    </row>
    <row r="488" spans="5:9" ht="15.7" x14ac:dyDescent="0.5">
      <c r="E488" s="33"/>
      <c r="G488" s="48"/>
      <c r="H488" s="48"/>
      <c r="I488" s="35"/>
    </row>
    <row r="489" spans="5:9" ht="15.7" x14ac:dyDescent="0.5">
      <c r="E489" s="33"/>
      <c r="G489" s="48"/>
      <c r="H489" s="48"/>
      <c r="I489" s="35"/>
    </row>
    <row r="490" spans="5:9" ht="15.7" x14ac:dyDescent="0.5">
      <c r="E490" s="33"/>
      <c r="G490" s="48"/>
      <c r="H490" s="48"/>
      <c r="I490" s="35"/>
    </row>
    <row r="491" spans="5:9" ht="15.7" x14ac:dyDescent="0.5">
      <c r="E491" s="33"/>
      <c r="G491" s="48"/>
      <c r="H491" s="48"/>
      <c r="I491" s="35"/>
    </row>
    <row r="492" spans="5:9" ht="15.7" x14ac:dyDescent="0.5">
      <c r="E492" s="33"/>
      <c r="G492" s="48"/>
      <c r="H492" s="48"/>
      <c r="I492" s="35"/>
    </row>
    <row r="493" spans="5:9" ht="15.7" x14ac:dyDescent="0.5">
      <c r="E493" s="33"/>
      <c r="G493" s="48"/>
      <c r="H493" s="48"/>
      <c r="I493" s="35"/>
    </row>
    <row r="494" spans="5:9" ht="15.7" x14ac:dyDescent="0.5">
      <c r="E494" s="33"/>
      <c r="G494" s="48"/>
      <c r="H494" s="48"/>
      <c r="I494" s="35"/>
    </row>
    <row r="495" spans="5:9" ht="15.7" x14ac:dyDescent="0.5">
      <c r="E495" s="33"/>
      <c r="G495" s="48"/>
      <c r="H495" s="48"/>
      <c r="I495" s="35"/>
    </row>
    <row r="496" spans="5:9" ht="15.7" x14ac:dyDescent="0.5">
      <c r="E496" s="33"/>
      <c r="G496" s="48"/>
      <c r="H496" s="48"/>
      <c r="I496" s="35"/>
    </row>
    <row r="497" spans="5:9" ht="15.7" x14ac:dyDescent="0.5">
      <c r="E497" s="33"/>
      <c r="G497" s="48"/>
      <c r="H497" s="48"/>
      <c r="I497" s="35"/>
    </row>
    <row r="498" spans="5:9" ht="15.7" x14ac:dyDescent="0.5">
      <c r="E498" s="33"/>
      <c r="G498" s="48"/>
      <c r="H498" s="48"/>
      <c r="I498" s="35"/>
    </row>
    <row r="499" spans="5:9" ht="15.7" x14ac:dyDescent="0.5">
      <c r="E499" s="33"/>
      <c r="G499" s="48"/>
      <c r="H499" s="48"/>
      <c r="I499" s="35"/>
    </row>
    <row r="500" spans="5:9" ht="15.7" x14ac:dyDescent="0.5">
      <c r="E500" s="33"/>
      <c r="G500" s="48"/>
      <c r="H500" s="48"/>
      <c r="I500" s="35"/>
    </row>
    <row r="501" spans="5:9" ht="15.7" x14ac:dyDescent="0.5">
      <c r="E501" s="33"/>
      <c r="G501" s="48"/>
      <c r="H501" s="48"/>
      <c r="I501" s="35"/>
    </row>
    <row r="502" spans="5:9" ht="15.7" x14ac:dyDescent="0.5">
      <c r="E502" s="33"/>
      <c r="G502" s="48"/>
      <c r="H502" s="48"/>
      <c r="I502" s="35"/>
    </row>
    <row r="503" spans="5:9" ht="15.7" x14ac:dyDescent="0.5">
      <c r="E503" s="33"/>
      <c r="G503" s="48"/>
      <c r="H503" s="48"/>
      <c r="I503" s="35"/>
    </row>
    <row r="504" spans="5:9" ht="15.7" x14ac:dyDescent="0.5">
      <c r="E504" s="33"/>
      <c r="G504" s="48"/>
      <c r="H504" s="48"/>
      <c r="I504" s="35"/>
    </row>
    <row r="505" spans="5:9" ht="15.7" x14ac:dyDescent="0.5">
      <c r="E505" s="33"/>
      <c r="G505" s="48"/>
      <c r="H505" s="48"/>
      <c r="I505" s="35"/>
    </row>
    <row r="506" spans="5:9" ht="15.7" x14ac:dyDescent="0.5">
      <c r="E506" s="33"/>
      <c r="G506" s="48"/>
      <c r="H506" s="48"/>
      <c r="I506" s="35"/>
    </row>
    <row r="507" spans="5:9" ht="15.7" x14ac:dyDescent="0.5">
      <c r="E507" s="33"/>
      <c r="G507" s="48"/>
      <c r="H507" s="48"/>
      <c r="I507" s="35"/>
    </row>
    <row r="508" spans="5:9" ht="15.7" x14ac:dyDescent="0.5">
      <c r="E508" s="33"/>
      <c r="G508" s="48"/>
      <c r="H508" s="48"/>
      <c r="I508" s="35"/>
    </row>
    <row r="509" spans="5:9" ht="15.7" x14ac:dyDescent="0.5">
      <c r="E509" s="33"/>
      <c r="G509" s="48"/>
      <c r="H509" s="48"/>
      <c r="I509" s="35"/>
    </row>
    <row r="510" spans="5:9" ht="15.7" x14ac:dyDescent="0.5">
      <c r="E510" s="33"/>
      <c r="G510" s="48"/>
      <c r="H510" s="48"/>
      <c r="I510" s="35"/>
    </row>
    <row r="511" spans="5:9" ht="15.7" x14ac:dyDescent="0.5">
      <c r="E511" s="33"/>
      <c r="G511" s="48"/>
      <c r="H511" s="48"/>
      <c r="I511" s="35"/>
    </row>
    <row r="512" spans="5:9" ht="15.7" x14ac:dyDescent="0.5">
      <c r="E512" s="33"/>
      <c r="G512" s="48"/>
      <c r="H512" s="48"/>
      <c r="I512" s="35"/>
    </row>
    <row r="513" spans="5:9" ht="15.7" x14ac:dyDescent="0.5">
      <c r="E513" s="33"/>
      <c r="G513" s="48"/>
      <c r="H513" s="48"/>
      <c r="I513" s="35"/>
    </row>
    <row r="514" spans="5:9" ht="15.7" x14ac:dyDescent="0.5">
      <c r="E514" s="33"/>
      <c r="G514" s="48"/>
      <c r="H514" s="48"/>
      <c r="I514" s="35"/>
    </row>
    <row r="515" spans="5:9" ht="15.7" x14ac:dyDescent="0.5">
      <c r="E515" s="33"/>
      <c r="G515" s="48"/>
      <c r="H515" s="48"/>
      <c r="I515" s="35"/>
    </row>
    <row r="516" spans="5:9" ht="15.7" x14ac:dyDescent="0.5">
      <c r="E516" s="33"/>
      <c r="G516" s="48"/>
      <c r="H516" s="48"/>
      <c r="I516" s="35"/>
    </row>
    <row r="517" spans="5:9" ht="15.7" x14ac:dyDescent="0.5">
      <c r="E517" s="33"/>
      <c r="G517" s="48"/>
      <c r="H517" s="48"/>
      <c r="I517" s="35"/>
    </row>
    <row r="518" spans="5:9" ht="15.7" x14ac:dyDescent="0.5">
      <c r="E518" s="33"/>
      <c r="G518" s="48"/>
      <c r="H518" s="48"/>
      <c r="I518" s="35"/>
    </row>
    <row r="519" spans="5:9" ht="15.7" x14ac:dyDescent="0.5">
      <c r="E519" s="33"/>
      <c r="G519" s="48"/>
      <c r="H519" s="48"/>
      <c r="I519" s="35"/>
    </row>
    <row r="520" spans="5:9" ht="15.7" x14ac:dyDescent="0.5">
      <c r="E520" s="33"/>
      <c r="G520" s="48"/>
      <c r="H520" s="48"/>
      <c r="I520" s="35"/>
    </row>
    <row r="521" spans="5:9" ht="15.7" x14ac:dyDescent="0.5">
      <c r="E521" s="33"/>
      <c r="G521" s="48"/>
      <c r="H521" s="48"/>
      <c r="I521" s="35"/>
    </row>
    <row r="522" spans="5:9" ht="15.7" x14ac:dyDescent="0.5">
      <c r="E522" s="33"/>
      <c r="G522" s="48"/>
      <c r="H522" s="48"/>
      <c r="I522" s="35"/>
    </row>
    <row r="523" spans="5:9" ht="15.7" x14ac:dyDescent="0.5">
      <c r="E523" s="33"/>
      <c r="G523" s="48"/>
      <c r="H523" s="48"/>
      <c r="I523" s="35"/>
    </row>
    <row r="524" spans="5:9" ht="15.7" x14ac:dyDescent="0.5">
      <c r="E524" s="33"/>
      <c r="G524" s="48"/>
      <c r="H524" s="48"/>
      <c r="I524" s="35"/>
    </row>
    <row r="525" spans="5:9" ht="15.7" x14ac:dyDescent="0.5">
      <c r="E525" s="33"/>
      <c r="G525" s="48"/>
      <c r="H525" s="48"/>
      <c r="I525" s="35"/>
    </row>
    <row r="526" spans="5:9" ht="15.7" x14ac:dyDescent="0.5">
      <c r="E526" s="33"/>
      <c r="G526" s="48"/>
      <c r="H526" s="48"/>
      <c r="I526" s="35"/>
    </row>
    <row r="527" spans="5:9" ht="15.7" x14ac:dyDescent="0.5">
      <c r="E527" s="33"/>
      <c r="G527" s="48"/>
      <c r="H527" s="48"/>
      <c r="I527" s="35"/>
    </row>
    <row r="528" spans="5:9" ht="15.7" x14ac:dyDescent="0.5">
      <c r="E528" s="33"/>
      <c r="G528" s="48"/>
      <c r="H528" s="48"/>
      <c r="I528" s="35"/>
    </row>
    <row r="529" spans="5:9" ht="15.7" x14ac:dyDescent="0.5">
      <c r="E529" s="33"/>
      <c r="G529" s="48"/>
      <c r="H529" s="48"/>
      <c r="I529" s="35"/>
    </row>
    <row r="537" spans="5:9" x14ac:dyDescent="0.5">
      <c r="G537" s="48"/>
    </row>
    <row r="542" spans="5:9" x14ac:dyDescent="0.5">
      <c r="I542" s="35"/>
    </row>
    <row r="544" spans="5:9" x14ac:dyDescent="0.5">
      <c r="G544" s="48"/>
      <c r="H544" s="48"/>
    </row>
    <row r="601" spans="7:9" x14ac:dyDescent="0.5">
      <c r="I601" s="35"/>
    </row>
    <row r="603" spans="7:9" x14ac:dyDescent="0.5">
      <c r="G603" s="48"/>
      <c r="H603" s="48"/>
    </row>
    <row r="631" spans="7:9" x14ac:dyDescent="0.5">
      <c r="I631" s="35"/>
    </row>
    <row r="633" spans="7:9" x14ac:dyDescent="0.5">
      <c r="G633" s="48"/>
      <c r="H633" s="48"/>
    </row>
    <row r="637" spans="7:9" x14ac:dyDescent="0.5">
      <c r="I637" s="35"/>
    </row>
    <row r="639" spans="7:9" x14ac:dyDescent="0.5">
      <c r="G639" s="48"/>
      <c r="H639" s="48"/>
    </row>
    <row r="696" spans="7:9" x14ac:dyDescent="0.5">
      <c r="I696" s="35"/>
    </row>
    <row r="698" spans="7:9" x14ac:dyDescent="0.5">
      <c r="G698" s="48"/>
      <c r="H698" s="48"/>
    </row>
    <row r="729" spans="7:9" x14ac:dyDescent="0.5">
      <c r="I729" s="35"/>
    </row>
    <row r="731" spans="7:9" x14ac:dyDescent="0.5">
      <c r="G731" s="48"/>
      <c r="H731" s="48"/>
    </row>
    <row r="760" spans="7:9" x14ac:dyDescent="0.5">
      <c r="I760" s="35"/>
    </row>
    <row r="762" spans="7:9" x14ac:dyDescent="0.5">
      <c r="G762" s="48"/>
      <c r="H762" s="48"/>
    </row>
    <row r="766" spans="7:9" x14ac:dyDescent="0.5">
      <c r="I766" s="35"/>
    </row>
    <row r="768" spans="7:9" x14ac:dyDescent="0.5">
      <c r="G768" s="48"/>
      <c r="H768" s="48"/>
    </row>
    <row r="781" spans="7:9" x14ac:dyDescent="0.5">
      <c r="I781" s="35"/>
    </row>
    <row r="783" spans="7:9" x14ac:dyDescent="0.5">
      <c r="G783" s="48"/>
      <c r="H783" s="48"/>
    </row>
    <row r="800" spans="9:9" x14ac:dyDescent="0.5">
      <c r="I800" s="35"/>
    </row>
    <row r="802" spans="7:8" x14ac:dyDescent="0.5">
      <c r="G802" s="48"/>
      <c r="H802" s="48"/>
    </row>
    <row r="847" spans="9:9" x14ac:dyDescent="0.5">
      <c r="I847" s="35"/>
    </row>
    <row r="849" spans="7:8" x14ac:dyDescent="0.5">
      <c r="G849" s="48"/>
      <c r="H849" s="48"/>
    </row>
    <row r="871" spans="7:9" x14ac:dyDescent="0.5">
      <c r="I871" s="35"/>
    </row>
    <row r="873" spans="7:9" x14ac:dyDescent="0.5">
      <c r="G873" s="48"/>
      <c r="H873" s="48"/>
    </row>
    <row r="931" spans="7:9" x14ac:dyDescent="0.5">
      <c r="I931" s="35"/>
    </row>
    <row r="933" spans="7:9" x14ac:dyDescent="0.5">
      <c r="G933" s="48"/>
      <c r="H933" s="48"/>
    </row>
    <row r="956" spans="7:9" x14ac:dyDescent="0.5">
      <c r="I956" s="35"/>
    </row>
    <row r="958" spans="7:9" x14ac:dyDescent="0.5">
      <c r="G958" s="48"/>
      <c r="H958" s="4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C1:J45"/>
  <sheetViews>
    <sheetView topLeftCell="A2" workbookViewId="0">
      <selection activeCell="C8" sqref="C8"/>
    </sheetView>
  </sheetViews>
  <sheetFormatPr baseColWidth="10" defaultColWidth="8.703125" defaultRowHeight="14.35" x14ac:dyDescent="0.5"/>
  <cols>
    <col min="3" max="3" width="14" customWidth="1"/>
    <col min="4" max="4" width="10.17578125" style="3" customWidth="1"/>
    <col min="5" max="5" width="10.29296875" customWidth="1"/>
    <col min="6" max="6" width="8.46875" customWidth="1"/>
    <col min="7" max="7" width="13.52734375" style="1" customWidth="1"/>
    <col min="8" max="8" width="12" customWidth="1"/>
    <col min="9" max="9" width="15.17578125" customWidth="1"/>
    <col min="10" max="10" width="4.703125" customWidth="1"/>
  </cols>
  <sheetData>
    <row r="1" spans="3:9" x14ac:dyDescent="0.5">
      <c r="C1" s="26" t="s">
        <v>3</v>
      </c>
    </row>
    <row r="3" spans="3:9" x14ac:dyDescent="0.5">
      <c r="C3" s="108" t="s">
        <v>554</v>
      </c>
      <c r="D3" s="48">
        <v>100</v>
      </c>
      <c r="E3" s="108" t="s">
        <v>0</v>
      </c>
      <c r="F3" s="108" t="s">
        <v>0</v>
      </c>
      <c r="G3" s="108" t="s">
        <v>0</v>
      </c>
      <c r="H3" s="108" t="s">
        <v>0</v>
      </c>
      <c r="I3" s="108" t="s">
        <v>0</v>
      </c>
    </row>
    <row r="4" spans="3:9" x14ac:dyDescent="0.5">
      <c r="C4" s="108" t="s">
        <v>537</v>
      </c>
      <c r="D4" s="48">
        <v>200</v>
      </c>
      <c r="E4" s="108" t="s">
        <v>0</v>
      </c>
      <c r="F4" s="108" t="s">
        <v>0</v>
      </c>
      <c r="G4" s="108" t="s">
        <v>0</v>
      </c>
      <c r="H4" s="108" t="s">
        <v>0</v>
      </c>
      <c r="I4" s="108" t="s">
        <v>0</v>
      </c>
    </row>
    <row r="5" spans="3:9" x14ac:dyDescent="0.5">
      <c r="C5" s="108" t="s">
        <v>556</v>
      </c>
      <c r="D5" s="48">
        <v>300</v>
      </c>
      <c r="E5" s="108" t="s">
        <v>0</v>
      </c>
      <c r="F5" s="108" t="s">
        <v>0</v>
      </c>
      <c r="G5" s="108" t="s">
        <v>0</v>
      </c>
      <c r="H5" s="108" t="s">
        <v>0</v>
      </c>
      <c r="I5" s="108" t="s">
        <v>0</v>
      </c>
    </row>
    <row r="6" spans="3:9" x14ac:dyDescent="0.5">
      <c r="C6" s="108" t="s">
        <v>555</v>
      </c>
      <c r="D6" s="48">
        <v>400</v>
      </c>
      <c r="E6" s="108" t="s">
        <v>0</v>
      </c>
      <c r="F6" s="108" t="s">
        <v>0</v>
      </c>
      <c r="G6" s="108" t="s">
        <v>0</v>
      </c>
      <c r="H6" s="108" t="s">
        <v>0</v>
      </c>
      <c r="I6" s="108" t="s">
        <v>0</v>
      </c>
    </row>
    <row r="7" spans="3:9" x14ac:dyDescent="0.5">
      <c r="C7" s="108" t="s">
        <v>557</v>
      </c>
      <c r="D7" s="48">
        <v>500</v>
      </c>
      <c r="E7" s="108" t="s">
        <v>0</v>
      </c>
      <c r="F7" s="108" t="s">
        <v>0</v>
      </c>
      <c r="G7" s="108" t="s">
        <v>0</v>
      </c>
      <c r="H7" s="108" t="s">
        <v>0</v>
      </c>
      <c r="I7" s="108" t="s">
        <v>0</v>
      </c>
    </row>
    <row r="8" spans="3:9" x14ac:dyDescent="0.5">
      <c r="C8" s="108" t="s">
        <v>596</v>
      </c>
      <c r="D8" s="48">
        <v>600</v>
      </c>
      <c r="E8" t="s">
        <v>0</v>
      </c>
      <c r="F8" t="s">
        <v>0</v>
      </c>
      <c r="G8" t="s">
        <v>0</v>
      </c>
      <c r="H8" t="s">
        <v>0</v>
      </c>
      <c r="I8" t="s">
        <v>0</v>
      </c>
    </row>
    <row r="9" spans="3:9" x14ac:dyDescent="0.5">
      <c r="C9" s="108" t="s">
        <v>18</v>
      </c>
      <c r="D9" s="48">
        <v>700</v>
      </c>
      <c r="E9" t="s">
        <v>0</v>
      </c>
      <c r="F9" t="s">
        <v>0</v>
      </c>
      <c r="G9" t="s">
        <v>0</v>
      </c>
      <c r="H9" t="s">
        <v>0</v>
      </c>
      <c r="I9" t="s">
        <v>0</v>
      </c>
    </row>
    <row r="10" spans="3:9" x14ac:dyDescent="0.5">
      <c r="C10" s="108" t="s">
        <v>18</v>
      </c>
      <c r="D10" s="48">
        <v>800</v>
      </c>
      <c r="E10" t="s">
        <v>0</v>
      </c>
      <c r="F10" t="s">
        <v>0</v>
      </c>
      <c r="G10" t="s">
        <v>0</v>
      </c>
      <c r="H10" t="s">
        <v>0</v>
      </c>
      <c r="I10" t="s">
        <v>0</v>
      </c>
    </row>
    <row r="11" spans="3:9" x14ac:dyDescent="0.5">
      <c r="C11" s="108" t="s">
        <v>18</v>
      </c>
      <c r="D11" s="48">
        <v>900</v>
      </c>
      <c r="E11" t="s">
        <v>0</v>
      </c>
      <c r="F11" t="s">
        <v>0</v>
      </c>
      <c r="G11" t="s">
        <v>0</v>
      </c>
      <c r="H11" t="s">
        <v>0</v>
      </c>
      <c r="I11" t="s">
        <v>0</v>
      </c>
    </row>
    <row r="12" spans="3:9" x14ac:dyDescent="0.5">
      <c r="C12" s="108" t="s">
        <v>18</v>
      </c>
      <c r="D12" s="48">
        <v>1000</v>
      </c>
      <c r="E12" t="s">
        <v>0</v>
      </c>
      <c r="F12" t="s">
        <v>0</v>
      </c>
      <c r="G12" t="s">
        <v>0</v>
      </c>
      <c r="H12" t="s">
        <v>0</v>
      </c>
      <c r="I12" t="s">
        <v>0</v>
      </c>
    </row>
    <row r="13" spans="3:9" x14ac:dyDescent="0.5">
      <c r="C13" s="108" t="s">
        <v>18</v>
      </c>
      <c r="D13" s="48">
        <v>1100</v>
      </c>
      <c r="E13" t="s">
        <v>0</v>
      </c>
      <c r="F13" t="s">
        <v>0</v>
      </c>
      <c r="G13" t="s">
        <v>0</v>
      </c>
      <c r="H13" t="s">
        <v>0</v>
      </c>
      <c r="I13" t="s">
        <v>0</v>
      </c>
    </row>
    <row r="14" spans="3:9" x14ac:dyDescent="0.5">
      <c r="C14" s="108" t="s">
        <v>18</v>
      </c>
      <c r="D14" s="48">
        <v>1200</v>
      </c>
      <c r="E14" t="s">
        <v>0</v>
      </c>
      <c r="F14" t="s">
        <v>0</v>
      </c>
      <c r="G14" t="s">
        <v>0</v>
      </c>
      <c r="H14" t="s">
        <v>0</v>
      </c>
      <c r="I14" t="s">
        <v>0</v>
      </c>
    </row>
    <row r="15" spans="3:9" x14ac:dyDescent="0.5">
      <c r="C15" s="108" t="s">
        <v>18</v>
      </c>
      <c r="D15" s="48">
        <v>1300</v>
      </c>
      <c r="E15" t="s">
        <v>0</v>
      </c>
      <c r="F15" t="s">
        <v>0</v>
      </c>
      <c r="G15" t="s">
        <v>0</v>
      </c>
      <c r="H15" t="s">
        <v>0</v>
      </c>
      <c r="I15" t="s">
        <v>0</v>
      </c>
    </row>
    <row r="16" spans="3:9" x14ac:dyDescent="0.5">
      <c r="C16" s="108" t="s">
        <v>18</v>
      </c>
      <c r="D16" s="48">
        <v>1400</v>
      </c>
      <c r="E16" t="s">
        <v>0</v>
      </c>
      <c r="F16" t="s">
        <v>0</v>
      </c>
      <c r="G16" t="s">
        <v>0</v>
      </c>
      <c r="H16" t="s">
        <v>0</v>
      </c>
      <c r="I16" t="s">
        <v>0</v>
      </c>
    </row>
    <row r="17" spans="3:10" x14ac:dyDescent="0.5">
      <c r="C17" s="108" t="s">
        <v>19</v>
      </c>
      <c r="D17" s="48">
        <v>1</v>
      </c>
      <c r="G17"/>
    </row>
    <row r="18" spans="3:10" x14ac:dyDescent="0.5">
      <c r="C18" s="108" t="s">
        <v>19</v>
      </c>
      <c r="D18" s="48">
        <v>2</v>
      </c>
      <c r="G18"/>
    </row>
    <row r="19" spans="3:10" x14ac:dyDescent="0.5">
      <c r="C19" s="108" t="s">
        <v>19</v>
      </c>
      <c r="D19" s="48">
        <v>3</v>
      </c>
      <c r="G19"/>
    </row>
    <row r="20" spans="3:10" x14ac:dyDescent="0.5">
      <c r="C20" s="108" t="s">
        <v>19</v>
      </c>
      <c r="D20" s="48">
        <v>4</v>
      </c>
      <c r="G20"/>
    </row>
    <row r="21" spans="3:10" x14ac:dyDescent="0.5">
      <c r="C21" s="108" t="s">
        <v>19</v>
      </c>
      <c r="D21" s="48">
        <v>5</v>
      </c>
      <c r="G21"/>
    </row>
    <row r="22" spans="3:10" x14ac:dyDescent="0.5">
      <c r="C22" s="108" t="s">
        <v>19</v>
      </c>
      <c r="D22" s="48">
        <v>0</v>
      </c>
      <c r="E22" s="108"/>
      <c r="F22" s="108"/>
      <c r="G22" s="108"/>
      <c r="H22" s="108"/>
      <c r="I22" s="108"/>
      <c r="J22" s="108"/>
    </row>
    <row r="25" spans="3:10" x14ac:dyDescent="0.5">
      <c r="D25" s="48"/>
    </row>
    <row r="26" spans="3:10" x14ac:dyDescent="0.5">
      <c r="D26" s="48"/>
    </row>
    <row r="27" spans="3:10" x14ac:dyDescent="0.5">
      <c r="D27" s="48"/>
    </row>
    <row r="28" spans="3:10" x14ac:dyDescent="0.5">
      <c r="D28" s="48"/>
      <c r="E28" s="108"/>
    </row>
    <row r="29" spans="3:10" x14ac:dyDescent="0.5">
      <c r="E29" s="108"/>
    </row>
    <row r="30" spans="3:10" x14ac:dyDescent="0.5">
      <c r="E30" s="108"/>
    </row>
    <row r="31" spans="3:10" x14ac:dyDescent="0.5">
      <c r="E31" s="108"/>
    </row>
    <row r="32" spans="3:10" x14ac:dyDescent="0.5">
      <c r="E32" s="108"/>
    </row>
    <row r="33" spans="5:5" x14ac:dyDescent="0.5">
      <c r="E33" s="108"/>
    </row>
    <row r="34" spans="5:5" x14ac:dyDescent="0.5">
      <c r="E34" s="108"/>
    </row>
    <row r="35" spans="5:5" x14ac:dyDescent="0.5">
      <c r="E35" s="108"/>
    </row>
    <row r="36" spans="5:5" x14ac:dyDescent="0.5">
      <c r="E36" s="108"/>
    </row>
    <row r="37" spans="5:5" x14ac:dyDescent="0.5">
      <c r="E37" s="108"/>
    </row>
    <row r="38" spans="5:5" x14ac:dyDescent="0.5">
      <c r="E38" s="108"/>
    </row>
    <row r="39" spans="5:5" x14ac:dyDescent="0.5">
      <c r="E39" s="108"/>
    </row>
    <row r="40" spans="5:5" x14ac:dyDescent="0.5">
      <c r="E40" s="108"/>
    </row>
    <row r="41" spans="5:5" x14ac:dyDescent="0.5">
      <c r="E41" s="108"/>
    </row>
    <row r="42" spans="5:5" x14ac:dyDescent="0.5">
      <c r="E42" s="108"/>
    </row>
    <row r="43" spans="5:5" x14ac:dyDescent="0.5">
      <c r="E43" s="108"/>
    </row>
    <row r="44" spans="5:5" x14ac:dyDescent="0.5">
      <c r="E44" s="108"/>
    </row>
    <row r="45" spans="5:5" x14ac:dyDescent="0.5">
      <c r="E45" s="108"/>
    </row>
  </sheetData>
  <hyperlinks>
    <hyperlink ref="C1" r:id="rId1" xr:uid="{00000000-0004-0000-0500-000000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153"/>
  <sheetViews>
    <sheetView workbookViewId="0">
      <selection activeCell="I22" sqref="I22"/>
    </sheetView>
  </sheetViews>
  <sheetFormatPr baseColWidth="10" defaultColWidth="8.703125" defaultRowHeight="14.35" x14ac:dyDescent="0.5"/>
  <cols>
    <col min="1" max="1" width="8.703125" style="132"/>
    <col min="2" max="2" width="15" style="131" customWidth="1"/>
    <col min="3" max="3" width="29.8203125" style="131" customWidth="1"/>
    <col min="4" max="4" width="14.46875" style="131" customWidth="1"/>
    <col min="5" max="5" width="10.17578125" style="131" bestFit="1" customWidth="1"/>
    <col min="6" max="8" width="8.703125" style="132"/>
    <col min="9" max="9" width="10.17578125" style="132" bestFit="1" customWidth="1"/>
    <col min="10" max="11" width="12.46875" style="132" customWidth="1"/>
    <col min="12" max="14" width="8.703125" style="132"/>
    <col min="15" max="15" width="10.17578125" style="132" bestFit="1" customWidth="1"/>
    <col min="16" max="16" width="8.703125" style="132"/>
    <col min="17" max="17" width="13.46875" style="132" customWidth="1"/>
    <col min="18" max="16384" width="8.703125" style="132"/>
  </cols>
  <sheetData>
    <row r="1" spans="1:9" x14ac:dyDescent="0.5">
      <c r="A1" s="137"/>
      <c r="B1" s="137"/>
      <c r="C1" s="137"/>
    </row>
    <row r="2" spans="1:9" x14ac:dyDescent="0.5">
      <c r="A2" s="137"/>
      <c r="B2" s="137" t="s">
        <v>591</v>
      </c>
      <c r="C2" s="137"/>
    </row>
    <row r="3" spans="1:9" x14ac:dyDescent="0.5">
      <c r="A3" s="137"/>
      <c r="B3" s="137" t="s">
        <v>591</v>
      </c>
      <c r="C3" s="137"/>
      <c r="I3" s="133"/>
    </row>
    <row r="4" spans="1:9" x14ac:dyDescent="0.5">
      <c r="A4" s="137"/>
      <c r="B4" s="137"/>
      <c r="C4" s="137"/>
      <c r="I4" s="133"/>
    </row>
    <row r="5" spans="1:9" x14ac:dyDescent="0.5">
      <c r="A5" s="137"/>
      <c r="B5" s="137"/>
      <c r="C5" s="137"/>
      <c r="I5" s="133"/>
    </row>
    <row r="6" spans="1:9" x14ac:dyDescent="0.5">
      <c r="A6" s="137"/>
      <c r="B6" s="137"/>
      <c r="C6" s="137"/>
      <c r="D6" s="134"/>
      <c r="I6" s="133"/>
    </row>
    <row r="7" spans="1:9" x14ac:dyDescent="0.5">
      <c r="A7" s="137"/>
      <c r="B7" s="137"/>
      <c r="C7" s="138"/>
      <c r="I7" s="133"/>
    </row>
    <row r="8" spans="1:9" x14ac:dyDescent="0.5">
      <c r="A8" s="137"/>
      <c r="B8" s="137" t="s">
        <v>2</v>
      </c>
      <c r="C8" s="139">
        <f ca="1">OFFSET(Diary!B1,COUNTA(Diary!B:B)-1,1)</f>
        <v>44059.506643518522</v>
      </c>
      <c r="I8" s="133"/>
    </row>
    <row r="9" spans="1:9" x14ac:dyDescent="0.5">
      <c r="A9" s="137"/>
      <c r="B9" s="137"/>
      <c r="C9" s="137">
        <f ca="1">DAY(C8)</f>
        <v>16</v>
      </c>
      <c r="I9" s="133"/>
    </row>
    <row r="10" spans="1:9" x14ac:dyDescent="0.5">
      <c r="A10" s="137"/>
      <c r="B10" s="137"/>
      <c r="C10" s="137">
        <f ca="1">IF(ISEVEN(C9),2,1)</f>
        <v>2</v>
      </c>
      <c r="I10" s="133"/>
    </row>
    <row r="11" spans="1:9" x14ac:dyDescent="0.5">
      <c r="A11" s="137"/>
      <c r="B11" s="137"/>
      <c r="C11" s="137"/>
      <c r="I11" s="133"/>
    </row>
    <row r="12" spans="1:9" x14ac:dyDescent="0.5">
      <c r="A12" s="137"/>
      <c r="B12" s="137" t="s">
        <v>2</v>
      </c>
      <c r="C12" s="137"/>
      <c r="I12" s="133"/>
    </row>
    <row r="13" spans="1:9" x14ac:dyDescent="0.5">
      <c r="A13" s="137"/>
      <c r="B13" s="140">
        <f ca="1">OFFSET(Diary!B1,COUNTA(Diary!B:B)-1,1)</f>
        <v>44059.506643518522</v>
      </c>
      <c r="C13" s="139">
        <f ca="1">ROUNDDOWN(C8,0)</f>
        <v>44059</v>
      </c>
      <c r="I13" s="133"/>
    </row>
    <row r="14" spans="1:9" x14ac:dyDescent="0.5">
      <c r="I14" s="133"/>
    </row>
    <row r="15" spans="1:9" x14ac:dyDescent="0.5">
      <c r="C15" s="135"/>
      <c r="E15" s="136" t="str">
        <f t="shared" ref="E15:E31" si="0">IF(SUMIF(I:I,C15,M:M)&gt;0,ROUND(SUMIF(I:I,C15,M:M)*60,0),"")</f>
        <v/>
      </c>
      <c r="I15" s="133"/>
    </row>
    <row r="16" spans="1:9" x14ac:dyDescent="0.5">
      <c r="C16" s="135"/>
      <c r="E16" s="136" t="str">
        <f t="shared" si="0"/>
        <v/>
      </c>
      <c r="I16" s="133"/>
    </row>
    <row r="17" spans="3:9" x14ac:dyDescent="0.5">
      <c r="C17" s="135"/>
      <c r="E17" s="136" t="str">
        <f t="shared" si="0"/>
        <v/>
      </c>
      <c r="I17" s="133"/>
    </row>
    <row r="18" spans="3:9" x14ac:dyDescent="0.5">
      <c r="C18" s="135"/>
      <c r="E18" s="136" t="str">
        <f t="shared" si="0"/>
        <v/>
      </c>
      <c r="I18" s="133"/>
    </row>
    <row r="19" spans="3:9" x14ac:dyDescent="0.5">
      <c r="C19" s="135"/>
      <c r="E19" s="136" t="str">
        <f t="shared" si="0"/>
        <v/>
      </c>
      <c r="I19" s="133"/>
    </row>
    <row r="20" spans="3:9" x14ac:dyDescent="0.5">
      <c r="C20" s="135"/>
      <c r="E20" s="136" t="str">
        <f t="shared" si="0"/>
        <v/>
      </c>
      <c r="I20" s="133"/>
    </row>
    <row r="21" spans="3:9" x14ac:dyDescent="0.5">
      <c r="C21" s="135"/>
      <c r="E21" s="136" t="str">
        <f t="shared" si="0"/>
        <v/>
      </c>
      <c r="I21" s="133"/>
    </row>
    <row r="22" spans="3:9" x14ac:dyDescent="0.5">
      <c r="C22" s="135"/>
      <c r="E22" s="136" t="str">
        <f t="shared" si="0"/>
        <v/>
      </c>
      <c r="I22" s="133"/>
    </row>
    <row r="23" spans="3:9" x14ac:dyDescent="0.5">
      <c r="C23" s="135"/>
      <c r="E23" s="136" t="str">
        <f t="shared" si="0"/>
        <v/>
      </c>
      <c r="I23" s="133"/>
    </row>
    <row r="24" spans="3:9" x14ac:dyDescent="0.5">
      <c r="C24" s="135"/>
      <c r="E24" s="136" t="str">
        <f t="shared" si="0"/>
        <v/>
      </c>
      <c r="I24" s="133"/>
    </row>
    <row r="25" spans="3:9" x14ac:dyDescent="0.5">
      <c r="C25" s="135"/>
      <c r="E25" s="136" t="str">
        <f t="shared" si="0"/>
        <v/>
      </c>
      <c r="I25" s="133"/>
    </row>
    <row r="26" spans="3:9" x14ac:dyDescent="0.5">
      <c r="C26" s="135"/>
      <c r="E26" s="136" t="str">
        <f t="shared" si="0"/>
        <v/>
      </c>
      <c r="I26" s="133"/>
    </row>
    <row r="27" spans="3:9" x14ac:dyDescent="0.5">
      <c r="C27" s="135"/>
      <c r="E27" s="136" t="str">
        <f t="shared" si="0"/>
        <v/>
      </c>
      <c r="I27" s="133"/>
    </row>
    <row r="28" spans="3:9" x14ac:dyDescent="0.5">
      <c r="C28" s="135"/>
      <c r="E28" s="136" t="str">
        <f t="shared" si="0"/>
        <v/>
      </c>
      <c r="I28" s="133"/>
    </row>
    <row r="29" spans="3:9" x14ac:dyDescent="0.5">
      <c r="C29" s="135"/>
      <c r="E29" s="136" t="str">
        <f t="shared" si="0"/>
        <v/>
      </c>
      <c r="I29" s="133"/>
    </row>
    <row r="30" spans="3:9" x14ac:dyDescent="0.5">
      <c r="C30" s="135"/>
      <c r="E30" s="136" t="str">
        <f t="shared" si="0"/>
        <v/>
      </c>
      <c r="I30" s="133"/>
    </row>
    <row r="31" spans="3:9" x14ac:dyDescent="0.5">
      <c r="C31" s="135"/>
      <c r="E31" s="136" t="str">
        <f t="shared" si="0"/>
        <v/>
      </c>
      <c r="I31" s="133"/>
    </row>
    <row r="32" spans="3:9" x14ac:dyDescent="0.5">
      <c r="I32" s="133"/>
    </row>
    <row r="33" spans="9:9" x14ac:dyDescent="0.5">
      <c r="I33" s="133"/>
    </row>
    <row r="34" spans="9:9" x14ac:dyDescent="0.5">
      <c r="I34" s="133"/>
    </row>
    <row r="35" spans="9:9" x14ac:dyDescent="0.5">
      <c r="I35" s="133"/>
    </row>
    <row r="36" spans="9:9" x14ac:dyDescent="0.5">
      <c r="I36" s="133"/>
    </row>
    <row r="37" spans="9:9" x14ac:dyDescent="0.5">
      <c r="I37" s="133"/>
    </row>
    <row r="38" spans="9:9" x14ac:dyDescent="0.5">
      <c r="I38" s="133"/>
    </row>
    <row r="39" spans="9:9" x14ac:dyDescent="0.5">
      <c r="I39" s="133"/>
    </row>
    <row r="40" spans="9:9" x14ac:dyDescent="0.5">
      <c r="I40" s="133"/>
    </row>
    <row r="41" spans="9:9" x14ac:dyDescent="0.5">
      <c r="I41" s="133"/>
    </row>
    <row r="42" spans="9:9" x14ac:dyDescent="0.5">
      <c r="I42" s="133"/>
    </row>
    <row r="43" spans="9:9" x14ac:dyDescent="0.5">
      <c r="I43" s="133"/>
    </row>
    <row r="44" spans="9:9" x14ac:dyDescent="0.5">
      <c r="I44" s="133"/>
    </row>
    <row r="45" spans="9:9" x14ac:dyDescent="0.5">
      <c r="I45" s="133"/>
    </row>
    <row r="46" spans="9:9" x14ac:dyDescent="0.5">
      <c r="I46" s="133"/>
    </row>
    <row r="47" spans="9:9" x14ac:dyDescent="0.5">
      <c r="I47" s="133"/>
    </row>
    <row r="48" spans="9:9" x14ac:dyDescent="0.5">
      <c r="I48" s="133"/>
    </row>
    <row r="49" spans="9:9" x14ac:dyDescent="0.5">
      <c r="I49" s="133"/>
    </row>
    <row r="50" spans="9:9" x14ac:dyDescent="0.5">
      <c r="I50" s="133"/>
    </row>
    <row r="51" spans="9:9" x14ac:dyDescent="0.5">
      <c r="I51" s="133"/>
    </row>
    <row r="52" spans="9:9" x14ac:dyDescent="0.5">
      <c r="I52" s="133"/>
    </row>
    <row r="53" spans="9:9" x14ac:dyDescent="0.5">
      <c r="I53" s="133"/>
    </row>
    <row r="54" spans="9:9" x14ac:dyDescent="0.5">
      <c r="I54" s="133"/>
    </row>
    <row r="55" spans="9:9" x14ac:dyDescent="0.5">
      <c r="I55" s="133"/>
    </row>
    <row r="56" spans="9:9" x14ac:dyDescent="0.5">
      <c r="I56" s="133"/>
    </row>
    <row r="57" spans="9:9" x14ac:dyDescent="0.5">
      <c r="I57" s="133"/>
    </row>
    <row r="58" spans="9:9" x14ac:dyDescent="0.5">
      <c r="I58" s="133"/>
    </row>
    <row r="59" spans="9:9" x14ac:dyDescent="0.5">
      <c r="I59" s="133"/>
    </row>
    <row r="60" spans="9:9" x14ac:dyDescent="0.5">
      <c r="I60" s="133"/>
    </row>
    <row r="61" spans="9:9" x14ac:dyDescent="0.5">
      <c r="I61" s="133"/>
    </row>
    <row r="62" spans="9:9" x14ac:dyDescent="0.5">
      <c r="I62" s="133"/>
    </row>
    <row r="63" spans="9:9" x14ac:dyDescent="0.5">
      <c r="I63" s="133"/>
    </row>
    <row r="64" spans="9:9" x14ac:dyDescent="0.5">
      <c r="I64" s="133"/>
    </row>
    <row r="65" spans="9:9" x14ac:dyDescent="0.5">
      <c r="I65" s="133"/>
    </row>
    <row r="66" spans="9:9" x14ac:dyDescent="0.5">
      <c r="I66" s="133"/>
    </row>
    <row r="67" spans="9:9" x14ac:dyDescent="0.5">
      <c r="I67" s="133"/>
    </row>
    <row r="68" spans="9:9" x14ac:dyDescent="0.5">
      <c r="I68" s="133"/>
    </row>
    <row r="69" spans="9:9" x14ac:dyDescent="0.5">
      <c r="I69" s="133"/>
    </row>
    <row r="70" spans="9:9" x14ac:dyDescent="0.5">
      <c r="I70" s="133"/>
    </row>
    <row r="71" spans="9:9" x14ac:dyDescent="0.5">
      <c r="I71" s="133"/>
    </row>
    <row r="72" spans="9:9" x14ac:dyDescent="0.5">
      <c r="I72" s="133"/>
    </row>
    <row r="73" spans="9:9" x14ac:dyDescent="0.5">
      <c r="I73" s="133"/>
    </row>
    <row r="74" spans="9:9" x14ac:dyDescent="0.5">
      <c r="I74" s="133"/>
    </row>
    <row r="75" spans="9:9" x14ac:dyDescent="0.5">
      <c r="I75" s="133"/>
    </row>
    <row r="76" spans="9:9" x14ac:dyDescent="0.5">
      <c r="I76" s="133"/>
    </row>
    <row r="77" spans="9:9" x14ac:dyDescent="0.5">
      <c r="I77" s="133"/>
    </row>
    <row r="78" spans="9:9" x14ac:dyDescent="0.5">
      <c r="I78" s="133"/>
    </row>
    <row r="79" spans="9:9" x14ac:dyDescent="0.5">
      <c r="I79" s="133"/>
    </row>
    <row r="80" spans="9:9" x14ac:dyDescent="0.5">
      <c r="I80" s="133"/>
    </row>
    <row r="81" spans="9:9" x14ac:dyDescent="0.5">
      <c r="I81" s="133"/>
    </row>
    <row r="82" spans="9:9" x14ac:dyDescent="0.5">
      <c r="I82" s="133"/>
    </row>
    <row r="83" spans="9:9" x14ac:dyDescent="0.5">
      <c r="I83" s="133"/>
    </row>
    <row r="84" spans="9:9" x14ac:dyDescent="0.5">
      <c r="I84" s="133"/>
    </row>
    <row r="85" spans="9:9" x14ac:dyDescent="0.5">
      <c r="I85" s="133"/>
    </row>
    <row r="86" spans="9:9" x14ac:dyDescent="0.5">
      <c r="I86" s="133"/>
    </row>
    <row r="87" spans="9:9" x14ac:dyDescent="0.5">
      <c r="I87" s="133"/>
    </row>
    <row r="88" spans="9:9" x14ac:dyDescent="0.5">
      <c r="I88" s="133"/>
    </row>
    <row r="89" spans="9:9" x14ac:dyDescent="0.5">
      <c r="I89" s="133"/>
    </row>
    <row r="90" spans="9:9" x14ac:dyDescent="0.5">
      <c r="I90" s="133"/>
    </row>
    <row r="91" spans="9:9" x14ac:dyDescent="0.5">
      <c r="I91" s="133"/>
    </row>
    <row r="92" spans="9:9" x14ac:dyDescent="0.5">
      <c r="I92" s="133"/>
    </row>
    <row r="93" spans="9:9" x14ac:dyDescent="0.5">
      <c r="I93" s="133"/>
    </row>
    <row r="94" spans="9:9" x14ac:dyDescent="0.5">
      <c r="I94" s="133"/>
    </row>
    <row r="95" spans="9:9" x14ac:dyDescent="0.5">
      <c r="I95" s="133"/>
    </row>
    <row r="96" spans="9:9" x14ac:dyDescent="0.5">
      <c r="I96" s="133"/>
    </row>
    <row r="97" spans="9:9" x14ac:dyDescent="0.5">
      <c r="I97" s="133"/>
    </row>
    <row r="98" spans="9:9" x14ac:dyDescent="0.5">
      <c r="I98" s="133"/>
    </row>
    <row r="99" spans="9:9" x14ac:dyDescent="0.5">
      <c r="I99" s="133"/>
    </row>
    <row r="100" spans="9:9" x14ac:dyDescent="0.5">
      <c r="I100" s="133"/>
    </row>
    <row r="101" spans="9:9" x14ac:dyDescent="0.5">
      <c r="I101" s="133"/>
    </row>
    <row r="102" spans="9:9" x14ac:dyDescent="0.5">
      <c r="I102" s="133"/>
    </row>
    <row r="103" spans="9:9" x14ac:dyDescent="0.5">
      <c r="I103" s="133"/>
    </row>
    <row r="104" spans="9:9" x14ac:dyDescent="0.5">
      <c r="I104" s="133"/>
    </row>
    <row r="105" spans="9:9" x14ac:dyDescent="0.5">
      <c r="I105" s="133"/>
    </row>
    <row r="106" spans="9:9" x14ac:dyDescent="0.5">
      <c r="I106" s="133"/>
    </row>
    <row r="107" spans="9:9" x14ac:dyDescent="0.5">
      <c r="I107" s="133"/>
    </row>
    <row r="108" spans="9:9" x14ac:dyDescent="0.5">
      <c r="I108" s="133"/>
    </row>
    <row r="109" spans="9:9" x14ac:dyDescent="0.5">
      <c r="I109" s="133"/>
    </row>
    <row r="110" spans="9:9" x14ac:dyDescent="0.5">
      <c r="I110" s="133"/>
    </row>
    <row r="111" spans="9:9" x14ac:dyDescent="0.5">
      <c r="I111" s="133"/>
    </row>
    <row r="112" spans="9:9" x14ac:dyDescent="0.5">
      <c r="I112" s="133"/>
    </row>
    <row r="113" spans="9:9" x14ac:dyDescent="0.5">
      <c r="I113" s="133"/>
    </row>
    <row r="114" spans="9:9" x14ac:dyDescent="0.5">
      <c r="I114" s="133"/>
    </row>
    <row r="115" spans="9:9" x14ac:dyDescent="0.5">
      <c r="I115" s="133"/>
    </row>
    <row r="116" spans="9:9" x14ac:dyDescent="0.5">
      <c r="I116" s="133"/>
    </row>
    <row r="117" spans="9:9" x14ac:dyDescent="0.5">
      <c r="I117" s="133"/>
    </row>
    <row r="118" spans="9:9" x14ac:dyDescent="0.5">
      <c r="I118" s="133"/>
    </row>
    <row r="119" spans="9:9" x14ac:dyDescent="0.5">
      <c r="I119" s="133"/>
    </row>
    <row r="120" spans="9:9" x14ac:dyDescent="0.5">
      <c r="I120" s="133"/>
    </row>
    <row r="121" spans="9:9" x14ac:dyDescent="0.5">
      <c r="I121" s="133"/>
    </row>
    <row r="122" spans="9:9" x14ac:dyDescent="0.5">
      <c r="I122" s="133"/>
    </row>
    <row r="123" spans="9:9" x14ac:dyDescent="0.5">
      <c r="I123" s="133"/>
    </row>
    <row r="124" spans="9:9" x14ac:dyDescent="0.5">
      <c r="I124" s="133"/>
    </row>
    <row r="125" spans="9:9" x14ac:dyDescent="0.5">
      <c r="I125" s="133"/>
    </row>
    <row r="126" spans="9:9" x14ac:dyDescent="0.5">
      <c r="I126" s="133"/>
    </row>
    <row r="127" spans="9:9" x14ac:dyDescent="0.5">
      <c r="I127" s="133"/>
    </row>
    <row r="128" spans="9:9" x14ac:dyDescent="0.5">
      <c r="I128" s="133"/>
    </row>
    <row r="129" spans="9:9" x14ac:dyDescent="0.5">
      <c r="I129" s="133"/>
    </row>
    <row r="130" spans="9:9" x14ac:dyDescent="0.5">
      <c r="I130" s="133"/>
    </row>
    <row r="131" spans="9:9" x14ac:dyDescent="0.5">
      <c r="I131" s="133"/>
    </row>
    <row r="132" spans="9:9" x14ac:dyDescent="0.5">
      <c r="I132" s="133"/>
    </row>
    <row r="133" spans="9:9" x14ac:dyDescent="0.5">
      <c r="I133" s="133"/>
    </row>
    <row r="134" spans="9:9" x14ac:dyDescent="0.5">
      <c r="I134" s="133"/>
    </row>
    <row r="135" spans="9:9" x14ac:dyDescent="0.5">
      <c r="I135" s="133"/>
    </row>
    <row r="136" spans="9:9" x14ac:dyDescent="0.5">
      <c r="I136" s="133"/>
    </row>
    <row r="137" spans="9:9" x14ac:dyDescent="0.5">
      <c r="I137" s="133"/>
    </row>
    <row r="138" spans="9:9" x14ac:dyDescent="0.5">
      <c r="I138" s="133"/>
    </row>
    <row r="139" spans="9:9" x14ac:dyDescent="0.5">
      <c r="I139" s="133"/>
    </row>
    <row r="140" spans="9:9" x14ac:dyDescent="0.5">
      <c r="I140" s="133"/>
    </row>
    <row r="141" spans="9:9" x14ac:dyDescent="0.5">
      <c r="I141" s="133"/>
    </row>
    <row r="142" spans="9:9" x14ac:dyDescent="0.5">
      <c r="I142" s="133"/>
    </row>
    <row r="143" spans="9:9" x14ac:dyDescent="0.5">
      <c r="I143" s="133"/>
    </row>
    <row r="144" spans="9:9" x14ac:dyDescent="0.5">
      <c r="I144" s="133"/>
    </row>
    <row r="145" spans="9:9" x14ac:dyDescent="0.5">
      <c r="I145" s="133"/>
    </row>
    <row r="146" spans="9:9" x14ac:dyDescent="0.5">
      <c r="I146" s="133"/>
    </row>
    <row r="147" spans="9:9" x14ac:dyDescent="0.5">
      <c r="I147" s="133"/>
    </row>
    <row r="148" spans="9:9" x14ac:dyDescent="0.5">
      <c r="I148" s="133"/>
    </row>
    <row r="149" spans="9:9" x14ac:dyDescent="0.5">
      <c r="I149" s="133"/>
    </row>
    <row r="150" spans="9:9" x14ac:dyDescent="0.5">
      <c r="I150" s="133"/>
    </row>
    <row r="151" spans="9:9" x14ac:dyDescent="0.5">
      <c r="I151" s="133"/>
    </row>
    <row r="152" spans="9:9" x14ac:dyDescent="0.5">
      <c r="I152" s="133"/>
    </row>
    <row r="153" spans="9:9" x14ac:dyDescent="0.5">
      <c r="I153" s="13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FD12"/>
  <sheetViews>
    <sheetView topLeftCell="B1" zoomScale="80" zoomScaleNormal="80" workbookViewId="0">
      <selection activeCell="EK6" sqref="EK6:EL6"/>
    </sheetView>
  </sheetViews>
  <sheetFormatPr baseColWidth="10" defaultColWidth="9.17578125" defaultRowHeight="16.7" x14ac:dyDescent="0.55000000000000004"/>
  <cols>
    <col min="1" max="1" width="4.46875" style="47" hidden="1" customWidth="1"/>
    <col min="2" max="2" width="33.17578125" style="101" customWidth="1"/>
    <col min="3" max="3" width="13.52734375" style="48" customWidth="1"/>
    <col min="4" max="4" width="6.8203125" style="47" hidden="1" customWidth="1"/>
    <col min="5" max="6" width="12" style="47" customWidth="1"/>
    <col min="7" max="7" width="6" style="47" customWidth="1"/>
    <col min="8" max="8" width="6.703125" style="47" hidden="1" customWidth="1"/>
    <col min="9" max="9" width="6.46875" style="47" hidden="1" customWidth="1"/>
    <col min="10" max="10" width="0.29296875" style="47" customWidth="1"/>
    <col min="11" max="837" width="0.52734375" style="47" customWidth="1"/>
    <col min="838" max="16384" width="9.17578125" style="47"/>
  </cols>
  <sheetData>
    <row r="1" spans="1:836" ht="16.350000000000001" x14ac:dyDescent="0.5">
      <c r="A1" s="49"/>
      <c r="B1" s="95"/>
      <c r="H1" s="50"/>
      <c r="K1" s="51"/>
      <c r="L1" s="51"/>
      <c r="M1" s="51"/>
      <c r="N1" s="51"/>
      <c r="O1" s="51"/>
      <c r="P1" s="51"/>
      <c r="Q1" s="51"/>
      <c r="R1" s="51"/>
      <c r="S1" s="51"/>
      <c r="T1" s="51"/>
      <c r="U1" s="51"/>
      <c r="V1" s="51"/>
      <c r="W1" s="51"/>
      <c r="X1" s="51"/>
      <c r="Y1" s="51"/>
      <c r="Z1" s="51"/>
      <c r="AA1" s="51"/>
    </row>
    <row r="2" spans="1:836" s="87" customFormat="1" x14ac:dyDescent="0.5">
      <c r="A2" s="85"/>
      <c r="B2" s="96"/>
      <c r="C2" s="146"/>
      <c r="D2" s="146"/>
      <c r="E2" s="146"/>
      <c r="F2" s="144"/>
      <c r="G2" s="145"/>
      <c r="H2" s="86"/>
      <c r="J2" s="88"/>
      <c r="K2" s="150" t="str">
        <f>""&amp;(K4-($C$3-WEEKDAY($C$3,1)+2))/7+1</f>
        <v>1</v>
      </c>
      <c r="L2" s="151"/>
      <c r="M2" s="151"/>
      <c r="N2" s="151"/>
      <c r="O2" s="151"/>
      <c r="P2" s="151"/>
      <c r="Q2" s="152"/>
      <c r="R2" s="150" t="str">
        <f>""&amp;(R4-($C$3-WEEKDAY($C$3,1)+2))/7+1</f>
        <v>2</v>
      </c>
      <c r="S2" s="151"/>
      <c r="T2" s="151"/>
      <c r="U2" s="151"/>
      <c r="V2" s="151"/>
      <c r="W2" s="151"/>
      <c r="X2" s="152"/>
      <c r="Y2" s="150" t="str">
        <f>""&amp;(Y4-($C$3-WEEKDAY($C$3,1)+2))/7+1</f>
        <v>3</v>
      </c>
      <c r="Z2" s="151"/>
      <c r="AA2" s="151"/>
      <c r="AB2" s="151"/>
      <c r="AC2" s="151"/>
      <c r="AD2" s="151"/>
      <c r="AE2" s="152"/>
      <c r="AF2" s="150" t="str">
        <f>""&amp;(AF4-($C$3-WEEKDAY($C$3,1)+2))/7+1</f>
        <v>4</v>
      </c>
      <c r="AG2" s="151"/>
      <c r="AH2" s="151"/>
      <c r="AI2" s="151"/>
      <c r="AJ2" s="151"/>
      <c r="AK2" s="151"/>
      <c r="AL2" s="152"/>
      <c r="AM2" s="150" t="str">
        <f>""&amp;(AM4-($C$3-WEEKDAY($C$3,1)+2))/7+1</f>
        <v>5</v>
      </c>
      <c r="AN2" s="151"/>
      <c r="AO2" s="151"/>
      <c r="AP2" s="151"/>
      <c r="AQ2" s="151"/>
      <c r="AR2" s="151"/>
      <c r="AS2" s="152"/>
      <c r="AT2" s="150" t="str">
        <f>""&amp;(AT4-($C$3-WEEKDAY($C$3,1)+2))/7+1</f>
        <v>6</v>
      </c>
      <c r="AU2" s="151"/>
      <c r="AV2" s="151"/>
      <c r="AW2" s="151"/>
      <c r="AX2" s="151"/>
      <c r="AY2" s="151"/>
      <c r="AZ2" s="152"/>
      <c r="BA2" s="150" t="str">
        <f>""&amp;(BA4-($C$3-WEEKDAY($C$3,1)+2))/7+1</f>
        <v>7</v>
      </c>
      <c r="BB2" s="151"/>
      <c r="BC2" s="151"/>
      <c r="BD2" s="151"/>
      <c r="BE2" s="151"/>
      <c r="BF2" s="151"/>
      <c r="BG2" s="152"/>
      <c r="BH2" s="150" t="str">
        <f>""&amp;(BH4-($C$3-WEEKDAY($C$3,1)+2))/7+1</f>
        <v>8</v>
      </c>
      <c r="BI2" s="151"/>
      <c r="BJ2" s="151"/>
      <c r="BK2" s="151"/>
      <c r="BL2" s="151"/>
      <c r="BM2" s="151"/>
      <c r="BN2" s="152"/>
      <c r="BO2" s="150" t="str">
        <f>""&amp;(BO4-($C$3-WEEKDAY($C$3,1)+2))/7+1</f>
        <v>9</v>
      </c>
      <c r="BP2" s="151"/>
      <c r="BQ2" s="151"/>
      <c r="BR2" s="151"/>
      <c r="BS2" s="151"/>
      <c r="BT2" s="151"/>
      <c r="BU2" s="152"/>
      <c r="BV2" s="150" t="str">
        <f>""&amp;(BV4-($C$3-WEEKDAY($C$3,1)+2))/7+1</f>
        <v>10</v>
      </c>
      <c r="BW2" s="151"/>
      <c r="BX2" s="151"/>
      <c r="BY2" s="151"/>
      <c r="BZ2" s="151"/>
      <c r="CA2" s="151"/>
      <c r="CB2" s="152"/>
      <c r="CC2" s="150" t="str">
        <f>""&amp;(CC4-($C$3-WEEKDAY($C$3,1)+2))/7+1</f>
        <v>11</v>
      </c>
      <c r="CD2" s="151"/>
      <c r="CE2" s="151"/>
      <c r="CF2" s="151"/>
      <c r="CG2" s="151"/>
      <c r="CH2" s="151"/>
      <c r="CI2" s="152"/>
      <c r="CJ2" s="150" t="str">
        <f>""&amp;(CJ4-($C$3-WEEKDAY($C$3,1)+2))/7+1</f>
        <v>12</v>
      </c>
      <c r="CK2" s="151"/>
      <c r="CL2" s="151"/>
      <c r="CM2" s="151"/>
      <c r="CN2" s="151"/>
      <c r="CO2" s="151"/>
      <c r="CP2" s="152"/>
      <c r="CQ2" s="150" t="str">
        <f>""&amp;(CQ4-($C$3-WEEKDAY($C$3,1)+2))/7+1</f>
        <v>13</v>
      </c>
      <c r="CR2" s="151"/>
      <c r="CS2" s="151"/>
      <c r="CT2" s="151"/>
      <c r="CU2" s="151"/>
      <c r="CV2" s="151"/>
      <c r="CW2" s="152"/>
      <c r="CX2" s="150" t="str">
        <f>""&amp;(CX4-($C$3-WEEKDAY($C$3,1)+2))/7+1</f>
        <v>14</v>
      </c>
      <c r="CY2" s="151"/>
      <c r="CZ2" s="151"/>
      <c r="DA2" s="151"/>
      <c r="DB2" s="151"/>
      <c r="DC2" s="151"/>
      <c r="DD2" s="152"/>
      <c r="DE2" s="150" t="str">
        <f>""&amp;(DE4-($C$3-WEEKDAY($C$3,1)+2))/7+1</f>
        <v>15</v>
      </c>
      <c r="DF2" s="151"/>
      <c r="DG2" s="151"/>
      <c r="DH2" s="151"/>
      <c r="DI2" s="151"/>
      <c r="DJ2" s="151"/>
      <c r="DK2" s="152"/>
      <c r="DL2" s="150" t="str">
        <f>""&amp;(DL4-($C$3-WEEKDAY($C$3,1)+2))/7+1</f>
        <v>16</v>
      </c>
      <c r="DM2" s="151"/>
      <c r="DN2" s="151"/>
      <c r="DO2" s="151"/>
      <c r="DP2" s="151"/>
      <c r="DQ2" s="151"/>
      <c r="DR2" s="152"/>
      <c r="DS2" s="150" t="str">
        <f>""&amp;(DS4-($C$3-WEEKDAY($C$3,1)+2))/7+1</f>
        <v>17</v>
      </c>
      <c r="DT2" s="151"/>
      <c r="DU2" s="151"/>
      <c r="DV2" s="151"/>
      <c r="DW2" s="151"/>
      <c r="DX2" s="151"/>
      <c r="DY2" s="152"/>
      <c r="DZ2" s="150" t="str">
        <f>""&amp;(DZ4-($C$3-WEEKDAY($C$3,1)+2))/7+1</f>
        <v>18</v>
      </c>
      <c r="EA2" s="151"/>
      <c r="EB2" s="151"/>
      <c r="EC2" s="151"/>
      <c r="ED2" s="151"/>
      <c r="EE2" s="151"/>
      <c r="EF2" s="152"/>
      <c r="EG2" s="150" t="str">
        <f>""&amp;(EG4-($C$3-WEEKDAY($C$3,1)+2))/7+1</f>
        <v>19</v>
      </c>
      <c r="EH2" s="151"/>
      <c r="EI2" s="151"/>
      <c r="EJ2" s="151"/>
      <c r="EK2" s="151"/>
      <c r="EL2" s="151"/>
      <c r="EM2" s="152"/>
      <c r="EN2" s="150" t="str">
        <f>""&amp;(EN4-($C$3-WEEKDAY($C$3,1)+2))/7+1</f>
        <v>20</v>
      </c>
      <c r="EO2" s="151"/>
      <c r="EP2" s="151"/>
      <c r="EQ2" s="151"/>
      <c r="ER2" s="151"/>
      <c r="ES2" s="151"/>
      <c r="ET2" s="152"/>
      <c r="EU2" s="150" t="str">
        <f>""&amp;(EU4-($C$3-WEEKDAY($C$3,1)+2))/7+1</f>
        <v>21</v>
      </c>
      <c r="EV2" s="151"/>
      <c r="EW2" s="151"/>
      <c r="EX2" s="151"/>
      <c r="EY2" s="151"/>
      <c r="EZ2" s="151"/>
      <c r="FA2" s="152"/>
      <c r="FB2" s="150" t="str">
        <f>""&amp;(FB4-($C$3-WEEKDAY($C$3,1)+2))/7+1</f>
        <v>22</v>
      </c>
      <c r="FC2" s="151"/>
      <c r="FD2" s="151"/>
      <c r="FE2" s="151"/>
      <c r="FF2" s="151"/>
      <c r="FG2" s="151"/>
      <c r="FH2" s="152"/>
      <c r="FI2" s="150" t="str">
        <f>""&amp;(FI4-($C$3-WEEKDAY($C$3,1)+2))/7+1</f>
        <v>23</v>
      </c>
      <c r="FJ2" s="151"/>
      <c r="FK2" s="151"/>
      <c r="FL2" s="151"/>
      <c r="FM2" s="151"/>
      <c r="FN2" s="151"/>
      <c r="FO2" s="152"/>
      <c r="FP2" s="150" t="str">
        <f>""&amp;(FP4-($C$3-WEEKDAY($C$3,1)+2))/7+1</f>
        <v>24</v>
      </c>
      <c r="FQ2" s="151"/>
      <c r="FR2" s="151"/>
      <c r="FS2" s="151"/>
      <c r="FT2" s="151"/>
      <c r="FU2" s="151"/>
      <c r="FV2" s="152"/>
      <c r="FW2" s="150" t="str">
        <f>""&amp;(FW4-($C$3-WEEKDAY($C$3,1)+2))/7+1</f>
        <v>25</v>
      </c>
      <c r="FX2" s="151"/>
      <c r="FY2" s="151"/>
      <c r="FZ2" s="151"/>
      <c r="GA2" s="151"/>
      <c r="GB2" s="151"/>
      <c r="GC2" s="152"/>
      <c r="GD2" s="150" t="str">
        <f>""&amp;(GD4-($C$3-WEEKDAY($C$3,1)+2))/7+1</f>
        <v>26</v>
      </c>
      <c r="GE2" s="151"/>
      <c r="GF2" s="151"/>
      <c r="GG2" s="151"/>
      <c r="GH2" s="151"/>
      <c r="GI2" s="151"/>
      <c r="GJ2" s="152"/>
      <c r="GK2" s="150" t="str">
        <f>""&amp;(GK4-($C$3-WEEKDAY($C$3,1)+2))/7+1</f>
        <v>27</v>
      </c>
      <c r="GL2" s="151"/>
      <c r="GM2" s="151"/>
      <c r="GN2" s="151"/>
      <c r="GO2" s="151"/>
      <c r="GP2" s="151"/>
      <c r="GQ2" s="152"/>
      <c r="GR2" s="150" t="str">
        <f>""&amp;(GR4-($C$3-WEEKDAY($C$3,1)+2))/7+1</f>
        <v>28</v>
      </c>
      <c r="GS2" s="151"/>
      <c r="GT2" s="151"/>
      <c r="GU2" s="151"/>
      <c r="GV2" s="151"/>
      <c r="GW2" s="151"/>
      <c r="GX2" s="152"/>
      <c r="GY2" s="150" t="str">
        <f>""&amp;(GY4-($C$3-WEEKDAY($C$3,1)+2))/7+1</f>
        <v>29</v>
      </c>
      <c r="GZ2" s="151"/>
      <c r="HA2" s="151"/>
      <c r="HB2" s="151"/>
      <c r="HC2" s="151"/>
      <c r="HD2" s="151"/>
      <c r="HE2" s="152"/>
      <c r="HF2" s="150" t="str">
        <f>""&amp;(HF4-($C$3-WEEKDAY($C$3,1)+2))/7+1</f>
        <v>30</v>
      </c>
      <c r="HG2" s="151"/>
      <c r="HH2" s="151"/>
      <c r="HI2" s="151"/>
      <c r="HJ2" s="151"/>
      <c r="HK2" s="151"/>
      <c r="HL2" s="152"/>
      <c r="HM2" s="150" t="str">
        <f>""&amp;(HM4-($C$3-WEEKDAY($C$3,1)+2))/7+1</f>
        <v>31</v>
      </c>
      <c r="HN2" s="151"/>
      <c r="HO2" s="151"/>
      <c r="HP2" s="151"/>
      <c r="HQ2" s="151"/>
      <c r="HR2" s="151"/>
      <c r="HS2" s="152"/>
      <c r="HT2" s="150" t="str">
        <f>""&amp;(HT4-($C$3-WEEKDAY($C$3,1)+2))/7+1</f>
        <v>32</v>
      </c>
      <c r="HU2" s="151"/>
      <c r="HV2" s="151"/>
      <c r="HW2" s="151"/>
      <c r="HX2" s="151"/>
      <c r="HY2" s="151"/>
      <c r="HZ2" s="152"/>
      <c r="IA2" s="150" t="str">
        <f>""&amp;(IA4-($C$3-WEEKDAY($C$3,1)+2))/7+1</f>
        <v>33</v>
      </c>
      <c r="IB2" s="151"/>
      <c r="IC2" s="151"/>
      <c r="ID2" s="151"/>
      <c r="IE2" s="151"/>
      <c r="IF2" s="151"/>
      <c r="IG2" s="152"/>
      <c r="IH2" s="150" t="str">
        <f>""&amp;(IH4-($C$3-WEEKDAY($C$3,1)+2))/7+1</f>
        <v>34</v>
      </c>
      <c r="II2" s="151"/>
      <c r="IJ2" s="151"/>
      <c r="IK2" s="151"/>
      <c r="IL2" s="151"/>
      <c r="IM2" s="151"/>
      <c r="IN2" s="152"/>
      <c r="IO2" s="150" t="str">
        <f>""&amp;(IO4-($C$3-WEEKDAY($C$3,1)+2))/7+1</f>
        <v>35</v>
      </c>
      <c r="IP2" s="151"/>
      <c r="IQ2" s="151"/>
      <c r="IR2" s="151"/>
      <c r="IS2" s="151"/>
      <c r="IT2" s="151"/>
      <c r="IU2" s="152"/>
      <c r="IV2" s="150" t="str">
        <f>""&amp;(IV4-($C$3-WEEKDAY($C$3,1)+2))/7+1</f>
        <v>36</v>
      </c>
      <c r="IW2" s="151"/>
      <c r="IX2" s="151"/>
      <c r="IY2" s="151"/>
      <c r="IZ2" s="151"/>
      <c r="JA2" s="151"/>
      <c r="JB2" s="152"/>
      <c r="JC2" s="150" t="str">
        <f>""&amp;(JC4-($C$3-WEEKDAY($C$3,1)+2))/7+1</f>
        <v>37</v>
      </c>
      <c r="JD2" s="151"/>
      <c r="JE2" s="151"/>
      <c r="JF2" s="151"/>
      <c r="JG2" s="151"/>
      <c r="JH2" s="151"/>
      <c r="JI2" s="152"/>
      <c r="JJ2" s="150" t="str">
        <f>""&amp;(JJ4-($C$3-WEEKDAY($C$3,1)+2))/7+1</f>
        <v>38</v>
      </c>
      <c r="JK2" s="151"/>
      <c r="JL2" s="151"/>
      <c r="JM2" s="151"/>
      <c r="JN2" s="151"/>
      <c r="JO2" s="151"/>
      <c r="JP2" s="152"/>
      <c r="JQ2" s="150" t="str">
        <f>""&amp;(JQ4-($C$3-WEEKDAY($C$3,1)+2))/7+1</f>
        <v>39</v>
      </c>
      <c r="JR2" s="151"/>
      <c r="JS2" s="151"/>
      <c r="JT2" s="151"/>
      <c r="JU2" s="151"/>
      <c r="JV2" s="151"/>
      <c r="JW2" s="152"/>
      <c r="JX2" s="150" t="str">
        <f>""&amp;(JX4-($C$3-WEEKDAY($C$3,1)+2))/7+1</f>
        <v>40</v>
      </c>
      <c r="JY2" s="151"/>
      <c r="JZ2" s="151"/>
      <c r="KA2" s="151"/>
      <c r="KB2" s="151"/>
      <c r="KC2" s="151"/>
      <c r="KD2" s="152"/>
      <c r="KE2" s="150" t="str">
        <f>""&amp;(KE4-($C$3-WEEKDAY($C$3,1)+2))/7+1</f>
        <v>41</v>
      </c>
      <c r="KF2" s="151"/>
      <c r="KG2" s="151"/>
      <c r="KH2" s="151"/>
      <c r="KI2" s="151"/>
      <c r="KJ2" s="151"/>
      <c r="KK2" s="152"/>
      <c r="KL2" s="150" t="str">
        <f>""&amp;(KL4-($C$3-WEEKDAY($C$3,1)+2))/7+1</f>
        <v>42</v>
      </c>
      <c r="KM2" s="151"/>
      <c r="KN2" s="151"/>
      <c r="KO2" s="151"/>
      <c r="KP2" s="151"/>
      <c r="KQ2" s="151"/>
      <c r="KR2" s="152"/>
      <c r="KS2" s="150" t="str">
        <f>""&amp;(KS4-($C$3-WEEKDAY($C$3,1)+2))/7+1</f>
        <v>43</v>
      </c>
      <c r="KT2" s="151"/>
      <c r="KU2" s="151"/>
      <c r="KV2" s="151"/>
      <c r="KW2" s="151"/>
      <c r="KX2" s="151"/>
      <c r="KY2" s="152"/>
      <c r="KZ2" s="150" t="str">
        <f>""&amp;(KZ4-($C$3-WEEKDAY($C$3,1)+2))/7+1</f>
        <v>44</v>
      </c>
      <c r="LA2" s="151"/>
      <c r="LB2" s="151"/>
      <c r="LC2" s="151"/>
      <c r="LD2" s="151"/>
      <c r="LE2" s="151"/>
      <c r="LF2" s="152"/>
      <c r="LG2" s="150" t="str">
        <f>""&amp;(LG4-($C$3-WEEKDAY($C$3,1)+2))/7+1</f>
        <v>45</v>
      </c>
      <c r="LH2" s="151"/>
      <c r="LI2" s="151"/>
      <c r="LJ2" s="151"/>
      <c r="LK2" s="151"/>
      <c r="LL2" s="151"/>
      <c r="LM2" s="152"/>
      <c r="LN2" s="150" t="str">
        <f>""&amp;(LN4-($C$3-WEEKDAY($C$3,1)+2))/7+1</f>
        <v>46</v>
      </c>
      <c r="LO2" s="151"/>
      <c r="LP2" s="151"/>
      <c r="LQ2" s="151"/>
      <c r="LR2" s="151"/>
      <c r="LS2" s="151"/>
      <c r="LT2" s="152"/>
      <c r="LU2" s="150" t="str">
        <f>""&amp;(LU4-($C$3-WEEKDAY($C$3,1)+2))/7+1</f>
        <v>47</v>
      </c>
      <c r="LV2" s="151"/>
      <c r="LW2" s="151"/>
      <c r="LX2" s="151"/>
      <c r="LY2" s="151"/>
      <c r="LZ2" s="151"/>
      <c r="MA2" s="152"/>
      <c r="MB2" s="150" t="str">
        <f>""&amp;(MB4-($C$3-WEEKDAY($C$3,1)+2))/7+1</f>
        <v>48</v>
      </c>
      <c r="MC2" s="151"/>
      <c r="MD2" s="151"/>
      <c r="ME2" s="151"/>
      <c r="MF2" s="151"/>
      <c r="MG2" s="151"/>
      <c r="MH2" s="152"/>
      <c r="MI2" s="150" t="str">
        <f>""&amp;(MI4-($C$3-WEEKDAY($C$3,1)+2))/7+1</f>
        <v>49</v>
      </c>
      <c r="MJ2" s="151"/>
      <c r="MK2" s="151"/>
      <c r="ML2" s="151"/>
      <c r="MM2" s="151"/>
      <c r="MN2" s="151"/>
      <c r="MO2" s="152"/>
      <c r="MP2" s="150" t="str">
        <f>""&amp;(MP4-($C$3-WEEKDAY($C$3,1)+2))/7+1</f>
        <v>50</v>
      </c>
      <c r="MQ2" s="151"/>
      <c r="MR2" s="151"/>
      <c r="MS2" s="151"/>
      <c r="MT2" s="151"/>
      <c r="MU2" s="151"/>
      <c r="MV2" s="152"/>
      <c r="MW2" s="150" t="str">
        <f>""&amp;(MW4-($C$3-WEEKDAY($C$3,1)+2))/7+1</f>
        <v>51</v>
      </c>
      <c r="MX2" s="151"/>
      <c r="MY2" s="151"/>
      <c r="MZ2" s="151"/>
      <c r="NA2" s="151"/>
      <c r="NB2" s="151"/>
      <c r="NC2" s="152"/>
      <c r="ND2" s="150" t="str">
        <f>""&amp;(ND4-($C$3-WEEKDAY($C$3,1)+2))/7+1</f>
        <v>52</v>
      </c>
      <c r="NE2" s="151"/>
      <c r="NF2" s="151"/>
      <c r="NG2" s="151"/>
      <c r="NH2" s="151"/>
      <c r="NI2" s="151"/>
      <c r="NJ2" s="152"/>
      <c r="NK2" s="150" t="str">
        <f>""&amp;(NK4-($C$3-WEEKDAY($C$3,1)+2))/7+1</f>
        <v>53</v>
      </c>
      <c r="NL2" s="151"/>
      <c r="NM2" s="151"/>
      <c r="NN2" s="151"/>
      <c r="NO2" s="151"/>
      <c r="NP2" s="151"/>
      <c r="NQ2" s="152"/>
      <c r="NR2" s="150" t="str">
        <f>""&amp;(NR4-($C$3-WEEKDAY($C$3,1)+2))/7+1</f>
        <v>54</v>
      </c>
      <c r="NS2" s="151"/>
      <c r="NT2" s="151"/>
      <c r="NU2" s="151"/>
      <c r="NV2" s="151"/>
      <c r="NW2" s="151"/>
      <c r="NX2" s="152"/>
      <c r="NY2" s="150" t="str">
        <f>""&amp;(NY4-($C$3-WEEKDAY($C$3,1)+2))/7+1</f>
        <v>55</v>
      </c>
      <c r="NZ2" s="151"/>
      <c r="OA2" s="151"/>
      <c r="OB2" s="151"/>
      <c r="OC2" s="151"/>
      <c r="OD2" s="151"/>
      <c r="OE2" s="152"/>
      <c r="OF2" s="150" t="str">
        <f>""&amp;(OF4-($C$3-WEEKDAY($C$3,1)+2))/7+1</f>
        <v>56</v>
      </c>
      <c r="OG2" s="151"/>
      <c r="OH2" s="151"/>
      <c r="OI2" s="151"/>
      <c r="OJ2" s="151"/>
      <c r="OK2" s="151"/>
      <c r="OL2" s="152"/>
      <c r="OM2" s="150" t="str">
        <f>""&amp;(OM4-($C$3-WEEKDAY($C$3,1)+2))/7+1</f>
        <v>57</v>
      </c>
      <c r="ON2" s="151"/>
      <c r="OO2" s="151"/>
      <c r="OP2" s="151"/>
      <c r="OQ2" s="151"/>
      <c r="OR2" s="151"/>
      <c r="OS2" s="152"/>
      <c r="OT2" s="150" t="str">
        <f>""&amp;(OT4-($C$3-WEEKDAY($C$3,1)+2))/7+1</f>
        <v>58</v>
      </c>
      <c r="OU2" s="151"/>
      <c r="OV2" s="151"/>
      <c r="OW2" s="151"/>
      <c r="OX2" s="151"/>
      <c r="OY2" s="151"/>
      <c r="OZ2" s="152"/>
      <c r="PA2" s="150" t="str">
        <f>""&amp;(PA4-($C$3-WEEKDAY($C$3,1)+2))/7+1</f>
        <v>59</v>
      </c>
      <c r="PB2" s="151"/>
      <c r="PC2" s="151"/>
      <c r="PD2" s="151"/>
      <c r="PE2" s="151"/>
      <c r="PF2" s="151"/>
      <c r="PG2" s="152"/>
      <c r="PH2" s="150" t="str">
        <f>""&amp;(PH4-($C$3-WEEKDAY($C$3,1)+2))/7+1</f>
        <v>60</v>
      </c>
      <c r="PI2" s="151"/>
      <c r="PJ2" s="151"/>
      <c r="PK2" s="151"/>
      <c r="PL2" s="151"/>
      <c r="PM2" s="151"/>
      <c r="PN2" s="152"/>
      <c r="PO2" s="150" t="str">
        <f>""&amp;(PO4-($C$3-WEEKDAY($C$3,1)+2))/7+1</f>
        <v>61</v>
      </c>
      <c r="PP2" s="151"/>
      <c r="PQ2" s="151"/>
      <c r="PR2" s="151"/>
      <c r="PS2" s="151"/>
      <c r="PT2" s="151"/>
      <c r="PU2" s="152"/>
      <c r="PV2" s="150" t="str">
        <f>""&amp;(PV4-($C$3-WEEKDAY($C$3,1)+2))/7+1</f>
        <v>62</v>
      </c>
      <c r="PW2" s="151"/>
      <c r="PX2" s="151"/>
      <c r="PY2" s="151"/>
      <c r="PZ2" s="151"/>
      <c r="QA2" s="151"/>
      <c r="QB2" s="152"/>
      <c r="QC2" s="150" t="str">
        <f>""&amp;(QC4-($C$3-WEEKDAY($C$3,1)+2))/7+1</f>
        <v>63</v>
      </c>
      <c r="QD2" s="151"/>
      <c r="QE2" s="151"/>
      <c r="QF2" s="151"/>
      <c r="QG2" s="151"/>
      <c r="QH2" s="151"/>
      <c r="QI2" s="152"/>
      <c r="QJ2" s="150" t="str">
        <f>""&amp;(QJ4-($C$3-WEEKDAY($C$3,1)+2))/7+1</f>
        <v>64</v>
      </c>
      <c r="QK2" s="151"/>
      <c r="QL2" s="151"/>
      <c r="QM2" s="151"/>
      <c r="QN2" s="151"/>
      <c r="QO2" s="151"/>
      <c r="QP2" s="152"/>
      <c r="QQ2" s="150" t="str">
        <f>""&amp;(QQ4-($C$3-WEEKDAY($C$3,1)+2))/7+1</f>
        <v>65</v>
      </c>
      <c r="QR2" s="151"/>
      <c r="QS2" s="151"/>
      <c r="QT2" s="151"/>
      <c r="QU2" s="151"/>
      <c r="QV2" s="151"/>
      <c r="QW2" s="152"/>
      <c r="QX2" s="150" t="str">
        <f>""&amp;(QX4-($C$3-WEEKDAY($C$3,1)+2))/7+1</f>
        <v>66</v>
      </c>
      <c r="QY2" s="151"/>
      <c r="QZ2" s="151"/>
      <c r="RA2" s="151"/>
      <c r="RB2" s="151"/>
      <c r="RC2" s="151"/>
      <c r="RD2" s="152"/>
      <c r="RE2" s="150" t="str">
        <f>""&amp;(RE4-($C$3-WEEKDAY($C$3,1)+2))/7+1</f>
        <v>67</v>
      </c>
      <c r="RF2" s="151"/>
      <c r="RG2" s="151"/>
      <c r="RH2" s="151"/>
      <c r="RI2" s="151"/>
      <c r="RJ2" s="151"/>
      <c r="RK2" s="152"/>
      <c r="RL2" s="150" t="str">
        <f>""&amp;(RL4-($C$3-WEEKDAY($C$3,1)+2))/7+1</f>
        <v>68</v>
      </c>
      <c r="RM2" s="151"/>
      <c r="RN2" s="151"/>
      <c r="RO2" s="151"/>
      <c r="RP2" s="151"/>
      <c r="RQ2" s="151"/>
      <c r="RR2" s="152"/>
      <c r="RS2" s="150" t="str">
        <f>""&amp;(RS4-($C$3-WEEKDAY($C$3,1)+2))/7+1</f>
        <v>69</v>
      </c>
      <c r="RT2" s="151"/>
      <c r="RU2" s="151"/>
      <c r="RV2" s="151"/>
      <c r="RW2" s="151"/>
      <c r="RX2" s="151"/>
      <c r="RY2" s="152"/>
      <c r="RZ2" s="150" t="str">
        <f>""&amp;(RZ4-($C$3-WEEKDAY($C$3,1)+2))/7+1</f>
        <v>70</v>
      </c>
      <c r="SA2" s="151"/>
      <c r="SB2" s="151"/>
      <c r="SC2" s="151"/>
      <c r="SD2" s="151"/>
      <c r="SE2" s="151"/>
      <c r="SF2" s="152"/>
      <c r="SG2" s="150" t="str">
        <f>""&amp;(SG4-($C$3-WEEKDAY($C$3,1)+2))/7+1</f>
        <v>71</v>
      </c>
      <c r="SH2" s="151"/>
      <c r="SI2" s="151"/>
      <c r="SJ2" s="151"/>
      <c r="SK2" s="151"/>
      <c r="SL2" s="151"/>
      <c r="SM2" s="152"/>
      <c r="SN2" s="150" t="str">
        <f>""&amp;(SN4-($C$3-WEEKDAY($C$3,1)+2))/7+1</f>
        <v>72</v>
      </c>
      <c r="SO2" s="151"/>
      <c r="SP2" s="151"/>
      <c r="SQ2" s="151"/>
      <c r="SR2" s="151"/>
      <c r="SS2" s="151"/>
      <c r="ST2" s="152"/>
      <c r="SU2" s="150" t="str">
        <f>""&amp;(SU4-($C$3-WEEKDAY($C$3,1)+2))/7+1</f>
        <v>73</v>
      </c>
      <c r="SV2" s="151"/>
      <c r="SW2" s="151"/>
      <c r="SX2" s="151"/>
      <c r="SY2" s="151"/>
      <c r="SZ2" s="151"/>
      <c r="TA2" s="152"/>
      <c r="TB2" s="150" t="str">
        <f>""&amp;(TB4-($C$3-WEEKDAY($C$3,1)+2))/7+1</f>
        <v>74</v>
      </c>
      <c r="TC2" s="151"/>
      <c r="TD2" s="151"/>
      <c r="TE2" s="151"/>
      <c r="TF2" s="151"/>
      <c r="TG2" s="151"/>
      <c r="TH2" s="152"/>
      <c r="TI2" s="150" t="str">
        <f>""&amp;(TI4-($C$3-WEEKDAY($C$3,1)+2))/7+1</f>
        <v>75</v>
      </c>
      <c r="TJ2" s="151"/>
      <c r="TK2" s="151"/>
      <c r="TL2" s="151"/>
      <c r="TM2" s="151"/>
      <c r="TN2" s="151"/>
      <c r="TO2" s="152"/>
      <c r="TP2" s="150" t="str">
        <f>""&amp;(TP4-($C$3-WEEKDAY($C$3,1)+2))/7+1</f>
        <v>76</v>
      </c>
      <c r="TQ2" s="151"/>
      <c r="TR2" s="151"/>
      <c r="TS2" s="151"/>
      <c r="TT2" s="151"/>
      <c r="TU2" s="151"/>
      <c r="TV2" s="152"/>
      <c r="TW2" s="150" t="str">
        <f>""&amp;(TW4-($C$3-WEEKDAY($C$3,1)+2))/7+1</f>
        <v>77</v>
      </c>
      <c r="TX2" s="151"/>
      <c r="TY2" s="151"/>
      <c r="TZ2" s="151"/>
      <c r="UA2" s="151"/>
      <c r="UB2" s="151"/>
      <c r="UC2" s="152"/>
      <c r="UD2" s="150" t="str">
        <f>""&amp;(UD4-($C$3-WEEKDAY($C$3,1)+2))/7+1</f>
        <v>78</v>
      </c>
      <c r="UE2" s="151"/>
      <c r="UF2" s="151"/>
      <c r="UG2" s="151"/>
      <c r="UH2" s="151"/>
      <c r="UI2" s="151"/>
      <c r="UJ2" s="152"/>
      <c r="UK2" s="150" t="str">
        <f>""&amp;(UK4-($C$3-WEEKDAY($C$3,1)+2))/7+1</f>
        <v>79</v>
      </c>
      <c r="UL2" s="151"/>
      <c r="UM2" s="151"/>
      <c r="UN2" s="151"/>
      <c r="UO2" s="151"/>
      <c r="UP2" s="151"/>
      <c r="UQ2" s="152"/>
      <c r="UR2" s="150" t="str">
        <f>""&amp;(UR4-($C$3-WEEKDAY($C$3,1)+2))/7+1</f>
        <v>80</v>
      </c>
      <c r="US2" s="151"/>
      <c r="UT2" s="151"/>
      <c r="UU2" s="151"/>
      <c r="UV2" s="151"/>
      <c r="UW2" s="151"/>
      <c r="UX2" s="152"/>
      <c r="UY2" s="150" t="str">
        <f>""&amp;(UY4-($C$3-WEEKDAY($C$3,1)+2))/7+1</f>
        <v>81</v>
      </c>
      <c r="UZ2" s="151"/>
      <c r="VA2" s="151"/>
      <c r="VB2" s="151"/>
      <c r="VC2" s="151"/>
      <c r="VD2" s="151"/>
      <c r="VE2" s="152"/>
      <c r="VF2" s="150" t="str">
        <f>""&amp;(VF4-($C$3-WEEKDAY($C$3,1)+2))/7+1</f>
        <v>82</v>
      </c>
      <c r="VG2" s="151"/>
      <c r="VH2" s="151"/>
      <c r="VI2" s="151"/>
      <c r="VJ2" s="151"/>
      <c r="VK2" s="151"/>
      <c r="VL2" s="152"/>
      <c r="VM2" s="150" t="str">
        <f>""&amp;(VM4-($C$3-WEEKDAY($C$3,1)+2))/7+1</f>
        <v>83</v>
      </c>
      <c r="VN2" s="151"/>
      <c r="VO2" s="151"/>
      <c r="VP2" s="151"/>
      <c r="VQ2" s="151"/>
      <c r="VR2" s="151"/>
      <c r="VS2" s="152"/>
      <c r="VT2" s="150" t="str">
        <f>""&amp;(VT4-($C$3-WEEKDAY($C$3,1)+2))/7+1</f>
        <v>84</v>
      </c>
      <c r="VU2" s="151"/>
      <c r="VV2" s="151"/>
      <c r="VW2" s="151"/>
      <c r="VX2" s="151"/>
      <c r="VY2" s="151"/>
      <c r="VZ2" s="152"/>
      <c r="WA2" s="150" t="str">
        <f>""&amp;(WA4-($C$3-WEEKDAY($C$3,1)+2))/7+1</f>
        <v>85</v>
      </c>
      <c r="WB2" s="151"/>
      <c r="WC2" s="151"/>
      <c r="WD2" s="151"/>
      <c r="WE2" s="151"/>
      <c r="WF2" s="151"/>
      <c r="WG2" s="152"/>
      <c r="WH2" s="150" t="str">
        <f>""&amp;(WH4-($C$3-WEEKDAY($C$3,1)+2))/7+1</f>
        <v>86</v>
      </c>
      <c r="WI2" s="151"/>
      <c r="WJ2" s="151"/>
      <c r="WK2" s="151"/>
      <c r="WL2" s="151"/>
      <c r="WM2" s="151"/>
      <c r="WN2" s="152"/>
      <c r="WO2" s="150" t="str">
        <f>""&amp;(WO4-($C$3-WEEKDAY($C$3,1)+2))/7+1</f>
        <v>87</v>
      </c>
      <c r="WP2" s="151"/>
      <c r="WQ2" s="151"/>
      <c r="WR2" s="151"/>
      <c r="WS2" s="151"/>
      <c r="WT2" s="151"/>
      <c r="WU2" s="152"/>
      <c r="WV2" s="150" t="str">
        <f>""&amp;(WV4-($C$3-WEEKDAY($C$3,1)+2))/7+1</f>
        <v>88</v>
      </c>
      <c r="WW2" s="151"/>
      <c r="WX2" s="151"/>
      <c r="WY2" s="151"/>
      <c r="WZ2" s="151"/>
      <c r="XA2" s="151"/>
      <c r="XB2" s="152"/>
      <c r="XC2" s="150" t="str">
        <f>""&amp;(XC4-($C$3-WEEKDAY($C$3,1)+2))/7+1</f>
        <v>89</v>
      </c>
      <c r="XD2" s="151"/>
      <c r="XE2" s="151"/>
      <c r="XF2" s="151"/>
      <c r="XG2" s="151"/>
      <c r="XH2" s="151"/>
      <c r="XI2" s="152"/>
      <c r="XJ2" s="150" t="str">
        <f>""&amp;(XJ4-($C$3-WEEKDAY($C$3,1)+2))/7+1</f>
        <v>90</v>
      </c>
      <c r="XK2" s="151"/>
      <c r="XL2" s="151"/>
      <c r="XM2" s="151"/>
      <c r="XN2" s="151"/>
      <c r="XO2" s="151"/>
      <c r="XP2" s="152"/>
      <c r="XQ2" s="150" t="str">
        <f>""&amp;(XQ4-($C$3-WEEKDAY($C$3,1)+2))/7+1</f>
        <v>91</v>
      </c>
      <c r="XR2" s="151"/>
      <c r="XS2" s="151"/>
      <c r="XT2" s="151"/>
      <c r="XU2" s="151"/>
      <c r="XV2" s="151"/>
      <c r="XW2" s="152"/>
      <c r="XX2" s="150" t="str">
        <f>""&amp;(XX4-($C$3-WEEKDAY($C$3,1)+2))/7+1</f>
        <v>92</v>
      </c>
      <c r="XY2" s="151"/>
      <c r="XZ2" s="151"/>
      <c r="YA2" s="151"/>
      <c r="YB2" s="151"/>
      <c r="YC2" s="151"/>
      <c r="YD2" s="152"/>
      <c r="YE2" s="150" t="str">
        <f>""&amp;(YE4-($C$3-WEEKDAY($C$3,1)+2))/7+1</f>
        <v>93</v>
      </c>
      <c r="YF2" s="151"/>
      <c r="YG2" s="151"/>
      <c r="YH2" s="151"/>
      <c r="YI2" s="151"/>
      <c r="YJ2" s="151"/>
      <c r="YK2" s="152"/>
      <c r="YL2" s="150" t="str">
        <f>""&amp;(YL4-($C$3-WEEKDAY($C$3,1)+2))/7+1</f>
        <v>94</v>
      </c>
      <c r="YM2" s="151"/>
      <c r="YN2" s="151"/>
      <c r="YO2" s="151"/>
      <c r="YP2" s="151"/>
      <c r="YQ2" s="151"/>
      <c r="YR2" s="152"/>
      <c r="YS2" s="150" t="str">
        <f>""&amp;(YS4-($C$3-WEEKDAY($C$3,1)+2))/7+1</f>
        <v>95</v>
      </c>
      <c r="YT2" s="151"/>
      <c r="YU2" s="151"/>
      <c r="YV2" s="151"/>
      <c r="YW2" s="151"/>
      <c r="YX2" s="151"/>
      <c r="YY2" s="152"/>
      <c r="YZ2" s="150" t="str">
        <f>""&amp;(YZ4-($C$3-WEEKDAY($C$3,1)+2))/7+1</f>
        <v>96</v>
      </c>
      <c r="ZA2" s="151"/>
      <c r="ZB2" s="151"/>
      <c r="ZC2" s="151"/>
      <c r="ZD2" s="151"/>
      <c r="ZE2" s="151"/>
      <c r="ZF2" s="152"/>
      <c r="ZG2" s="150" t="str">
        <f>""&amp;(ZG4-($C$3-WEEKDAY($C$3,1)+2))/7+1</f>
        <v>97</v>
      </c>
      <c r="ZH2" s="151"/>
      <c r="ZI2" s="151"/>
      <c r="ZJ2" s="151"/>
      <c r="ZK2" s="151"/>
      <c r="ZL2" s="151"/>
      <c r="ZM2" s="152"/>
      <c r="ZN2" s="150" t="str">
        <f>""&amp;(ZN4-($C$3-WEEKDAY($C$3,1)+2))/7+1</f>
        <v>98</v>
      </c>
      <c r="ZO2" s="151"/>
      <c r="ZP2" s="151"/>
      <c r="ZQ2" s="151"/>
      <c r="ZR2" s="151"/>
      <c r="ZS2" s="151"/>
      <c r="ZT2" s="152"/>
      <c r="ZU2" s="150" t="str">
        <f>""&amp;(ZU4-($C$3-WEEKDAY($C$3,1)+2))/7+1</f>
        <v>99</v>
      </c>
      <c r="ZV2" s="151"/>
      <c r="ZW2" s="151"/>
      <c r="ZX2" s="151"/>
      <c r="ZY2" s="151"/>
      <c r="ZZ2" s="151"/>
      <c r="AAA2" s="152"/>
      <c r="AAB2" s="150" t="str">
        <f>""&amp;(AAB4-($C$3-WEEKDAY($C$3,1)+2))/7+1</f>
        <v>100</v>
      </c>
      <c r="AAC2" s="151"/>
      <c r="AAD2" s="151"/>
      <c r="AAE2" s="151"/>
      <c r="AAF2" s="151"/>
      <c r="AAG2" s="151"/>
      <c r="AAH2" s="152"/>
      <c r="AAI2" s="150" t="str">
        <f>""&amp;(AAI4-($C$3-WEEKDAY($C$3,1)+2))/7+1</f>
        <v>101</v>
      </c>
      <c r="AAJ2" s="151"/>
      <c r="AAK2" s="151"/>
      <c r="AAL2" s="151"/>
      <c r="AAM2" s="151"/>
      <c r="AAN2" s="151"/>
      <c r="AAO2" s="152"/>
      <c r="AAP2" s="150" t="str">
        <f>""&amp;(AAP4-($C$3-WEEKDAY($C$3,1)+2))/7+1</f>
        <v>102</v>
      </c>
      <c r="AAQ2" s="151"/>
      <c r="AAR2" s="151"/>
      <c r="AAS2" s="151"/>
      <c r="AAT2" s="151"/>
      <c r="AAU2" s="151"/>
      <c r="AAV2" s="152"/>
      <c r="AAW2" s="150" t="str">
        <f>""&amp;(AAW4-($C$3-WEEKDAY($C$3,1)+2))/7+1</f>
        <v>103</v>
      </c>
      <c r="AAX2" s="151"/>
      <c r="AAY2" s="151"/>
      <c r="AAZ2" s="151"/>
      <c r="ABA2" s="151"/>
      <c r="ABB2" s="151"/>
      <c r="ABC2" s="152"/>
      <c r="ABD2" s="150" t="str">
        <f>""&amp;(ABD4-($C$3-WEEKDAY($C$3,1)+2))/7+1</f>
        <v>104</v>
      </c>
      <c r="ABE2" s="151"/>
      <c r="ABF2" s="151"/>
      <c r="ABG2" s="151"/>
      <c r="ABH2" s="151"/>
      <c r="ABI2" s="151"/>
      <c r="ABJ2" s="152"/>
      <c r="ABK2" s="150" t="str">
        <f>""&amp;(ABK4-($C$3-WEEKDAY($C$3,1)+2))/7+1</f>
        <v>105</v>
      </c>
      <c r="ABL2" s="151"/>
      <c r="ABM2" s="151"/>
      <c r="ABN2" s="151"/>
      <c r="ABO2" s="151"/>
      <c r="ABP2" s="151"/>
      <c r="ABQ2" s="152"/>
      <c r="ABR2" s="150" t="str">
        <f>""&amp;(ABR4-($C$3-WEEKDAY($C$3,1)+2))/7+1</f>
        <v>106</v>
      </c>
      <c r="ABS2" s="151"/>
      <c r="ABT2" s="151"/>
      <c r="ABU2" s="151"/>
      <c r="ABV2" s="151"/>
      <c r="ABW2" s="151"/>
      <c r="ABX2" s="152"/>
      <c r="ABY2" s="150" t="str">
        <f>""&amp;(ABY4-($C$3-WEEKDAY($C$3,1)+2))/7+1</f>
        <v>107</v>
      </c>
      <c r="ABZ2" s="151"/>
      <c r="ACA2" s="151"/>
      <c r="ACB2" s="151"/>
      <c r="ACC2" s="151"/>
      <c r="ACD2" s="151"/>
      <c r="ACE2" s="152"/>
      <c r="ACF2" s="150" t="str">
        <f>""&amp;(ACF4-($C$3-WEEKDAY($C$3,1)+2))/7+1</f>
        <v>108</v>
      </c>
      <c r="ACG2" s="151"/>
      <c r="ACH2" s="151"/>
      <c r="ACI2" s="151"/>
      <c r="ACJ2" s="151"/>
      <c r="ACK2" s="151"/>
      <c r="ACL2" s="152"/>
      <c r="ACM2" s="150" t="str">
        <f>""&amp;(ACM4-($C$3-WEEKDAY($C$3,1)+2))/7+1</f>
        <v>109</v>
      </c>
      <c r="ACN2" s="151"/>
      <c r="ACO2" s="151"/>
      <c r="ACP2" s="151"/>
      <c r="ACQ2" s="151"/>
      <c r="ACR2" s="151"/>
      <c r="ACS2" s="152"/>
      <c r="ACT2" s="150" t="str">
        <f>""&amp;(ACT4-($C$3-WEEKDAY($C$3,1)+2))/7+1</f>
        <v>110</v>
      </c>
      <c r="ACU2" s="151"/>
      <c r="ACV2" s="151"/>
      <c r="ACW2" s="151"/>
      <c r="ACX2" s="151"/>
      <c r="ACY2" s="151"/>
      <c r="ACZ2" s="152"/>
      <c r="ADA2" s="150" t="str">
        <f>""&amp;(ADA4-($C$3-WEEKDAY($C$3,1)+2))/7+1</f>
        <v>111</v>
      </c>
      <c r="ADB2" s="151"/>
      <c r="ADC2" s="151"/>
      <c r="ADD2" s="151"/>
      <c r="ADE2" s="151"/>
      <c r="ADF2" s="151"/>
      <c r="ADG2" s="152"/>
      <c r="ADH2" s="150" t="str">
        <f>""&amp;(ADH4-($C$3-WEEKDAY($C$3,1)+2))/7+1</f>
        <v>112</v>
      </c>
      <c r="ADI2" s="151"/>
      <c r="ADJ2" s="151"/>
      <c r="ADK2" s="151"/>
      <c r="ADL2" s="151"/>
      <c r="ADM2" s="151"/>
      <c r="ADN2" s="152"/>
      <c r="ADO2" s="150" t="str">
        <f>""&amp;(ADO4-($C$3-WEEKDAY($C$3,1)+2))/7+1</f>
        <v>113</v>
      </c>
      <c r="ADP2" s="151"/>
      <c r="ADQ2" s="151"/>
      <c r="ADR2" s="151"/>
      <c r="ADS2" s="151"/>
      <c r="ADT2" s="151"/>
      <c r="ADU2" s="152"/>
      <c r="ADV2" s="150" t="str">
        <f>""&amp;(ADV4-($C$3-WEEKDAY($C$3,1)+2))/7+1</f>
        <v>114</v>
      </c>
      <c r="ADW2" s="151"/>
      <c r="ADX2" s="151"/>
      <c r="ADY2" s="151"/>
      <c r="ADZ2" s="151"/>
      <c r="AEA2" s="151"/>
      <c r="AEB2" s="152"/>
      <c r="AEC2" s="150" t="str">
        <f>""&amp;(AEC4-($C$3-WEEKDAY($C$3,1)+2))/7+1</f>
        <v>115</v>
      </c>
      <c r="AED2" s="151"/>
      <c r="AEE2" s="151"/>
      <c r="AEF2" s="151"/>
      <c r="AEG2" s="151"/>
      <c r="AEH2" s="151"/>
      <c r="AEI2" s="152"/>
      <c r="AEJ2" s="150" t="str">
        <f>""&amp;(AEJ4-($C$3-WEEKDAY($C$3,1)+2))/7+1</f>
        <v>116</v>
      </c>
      <c r="AEK2" s="151"/>
      <c r="AEL2" s="151"/>
      <c r="AEM2" s="151"/>
      <c r="AEN2" s="151"/>
      <c r="AEO2" s="151"/>
      <c r="AEP2" s="152"/>
      <c r="AEQ2" s="150" t="str">
        <f>""&amp;(AEQ4-($C$3-WEEKDAY($C$3,1)+2))/7+1</f>
        <v>117</v>
      </c>
      <c r="AER2" s="151"/>
      <c r="AES2" s="151"/>
      <c r="AET2" s="151"/>
      <c r="AEU2" s="151"/>
      <c r="AEV2" s="151"/>
      <c r="AEW2" s="152"/>
      <c r="AEX2" s="150" t="str">
        <f>""&amp;(AEX4-($C$3-WEEKDAY($C$3,1)+2))/7+1</f>
        <v>118</v>
      </c>
      <c r="AEY2" s="151"/>
      <c r="AEZ2" s="151"/>
      <c r="AFA2" s="151"/>
      <c r="AFB2" s="151"/>
      <c r="AFC2" s="151"/>
      <c r="AFD2" s="152"/>
    </row>
    <row r="3" spans="1:836" s="93" customFormat="1" ht="57.7" customHeight="1" x14ac:dyDescent="0.5">
      <c r="A3" s="94"/>
      <c r="B3" s="96" t="s">
        <v>15</v>
      </c>
      <c r="C3" s="146">
        <v>44003</v>
      </c>
      <c r="D3" s="146"/>
      <c r="E3" s="146"/>
      <c r="F3" s="142" t="s">
        <v>16</v>
      </c>
      <c r="G3" s="143"/>
      <c r="H3" s="86">
        <v>1</v>
      </c>
      <c r="I3" s="91"/>
      <c r="J3" s="92"/>
      <c r="K3" s="147">
        <f>K4</f>
        <v>44004</v>
      </c>
      <c r="L3" s="148"/>
      <c r="M3" s="148"/>
      <c r="N3" s="148"/>
      <c r="O3" s="148"/>
      <c r="P3" s="148"/>
      <c r="Q3" s="149"/>
      <c r="R3" s="147">
        <f>R4</f>
        <v>44011</v>
      </c>
      <c r="S3" s="148"/>
      <c r="T3" s="148"/>
      <c r="U3" s="148"/>
      <c r="V3" s="148"/>
      <c r="W3" s="148"/>
      <c r="X3" s="149"/>
      <c r="Y3" s="147">
        <f>Y4</f>
        <v>44018</v>
      </c>
      <c r="Z3" s="148"/>
      <c r="AA3" s="148"/>
      <c r="AB3" s="148"/>
      <c r="AC3" s="148"/>
      <c r="AD3" s="148"/>
      <c r="AE3" s="149"/>
      <c r="AF3" s="147">
        <f>AF4</f>
        <v>44025</v>
      </c>
      <c r="AG3" s="148"/>
      <c r="AH3" s="148"/>
      <c r="AI3" s="148"/>
      <c r="AJ3" s="148"/>
      <c r="AK3" s="148"/>
      <c r="AL3" s="149"/>
      <c r="AM3" s="147">
        <f>AM4</f>
        <v>44032</v>
      </c>
      <c r="AN3" s="148"/>
      <c r="AO3" s="148"/>
      <c r="AP3" s="148"/>
      <c r="AQ3" s="148"/>
      <c r="AR3" s="148"/>
      <c r="AS3" s="149"/>
      <c r="AT3" s="147">
        <f>AT4</f>
        <v>44039</v>
      </c>
      <c r="AU3" s="148"/>
      <c r="AV3" s="148"/>
      <c r="AW3" s="148"/>
      <c r="AX3" s="148"/>
      <c r="AY3" s="148"/>
      <c r="AZ3" s="149"/>
      <c r="BA3" s="147">
        <f>BA4</f>
        <v>44046</v>
      </c>
      <c r="BB3" s="148"/>
      <c r="BC3" s="148"/>
      <c r="BD3" s="148"/>
      <c r="BE3" s="148"/>
      <c r="BF3" s="148"/>
      <c r="BG3" s="149"/>
      <c r="BH3" s="147">
        <f>BH4</f>
        <v>44053</v>
      </c>
      <c r="BI3" s="148"/>
      <c r="BJ3" s="148"/>
      <c r="BK3" s="148"/>
      <c r="BL3" s="148"/>
      <c r="BM3" s="148"/>
      <c r="BN3" s="149"/>
      <c r="BO3" s="147">
        <f>BO4</f>
        <v>44060</v>
      </c>
      <c r="BP3" s="148"/>
      <c r="BQ3" s="148"/>
      <c r="BR3" s="148"/>
      <c r="BS3" s="148"/>
      <c r="BT3" s="148"/>
      <c r="BU3" s="149"/>
      <c r="BV3" s="147">
        <f>BV4</f>
        <v>44067</v>
      </c>
      <c r="BW3" s="148"/>
      <c r="BX3" s="148"/>
      <c r="BY3" s="148"/>
      <c r="BZ3" s="148"/>
      <c r="CA3" s="148"/>
      <c r="CB3" s="149"/>
      <c r="CC3" s="147">
        <f>CC4</f>
        <v>44074</v>
      </c>
      <c r="CD3" s="148"/>
      <c r="CE3" s="148"/>
      <c r="CF3" s="148"/>
      <c r="CG3" s="148"/>
      <c r="CH3" s="148"/>
      <c r="CI3" s="149"/>
      <c r="CJ3" s="147">
        <f>CJ4</f>
        <v>44081</v>
      </c>
      <c r="CK3" s="148"/>
      <c r="CL3" s="148"/>
      <c r="CM3" s="148"/>
      <c r="CN3" s="148"/>
      <c r="CO3" s="148"/>
      <c r="CP3" s="149"/>
      <c r="CQ3" s="147">
        <f>CQ4</f>
        <v>44088</v>
      </c>
      <c r="CR3" s="148"/>
      <c r="CS3" s="148"/>
      <c r="CT3" s="148"/>
      <c r="CU3" s="148"/>
      <c r="CV3" s="148"/>
      <c r="CW3" s="149"/>
      <c r="CX3" s="147">
        <f>CX4</f>
        <v>44095</v>
      </c>
      <c r="CY3" s="148"/>
      <c r="CZ3" s="148"/>
      <c r="DA3" s="148"/>
      <c r="DB3" s="148"/>
      <c r="DC3" s="148"/>
      <c r="DD3" s="149"/>
      <c r="DE3" s="147">
        <f>DE4</f>
        <v>44102</v>
      </c>
      <c r="DF3" s="148"/>
      <c r="DG3" s="148"/>
      <c r="DH3" s="148"/>
      <c r="DI3" s="148"/>
      <c r="DJ3" s="148"/>
      <c r="DK3" s="149"/>
      <c r="DL3" s="147">
        <f>DL4</f>
        <v>44109</v>
      </c>
      <c r="DM3" s="148"/>
      <c r="DN3" s="148"/>
      <c r="DO3" s="148"/>
      <c r="DP3" s="148"/>
      <c r="DQ3" s="148"/>
      <c r="DR3" s="149"/>
      <c r="DS3" s="147">
        <f>DS4</f>
        <v>44116</v>
      </c>
      <c r="DT3" s="148"/>
      <c r="DU3" s="148"/>
      <c r="DV3" s="148"/>
      <c r="DW3" s="148"/>
      <c r="DX3" s="148"/>
      <c r="DY3" s="149"/>
      <c r="DZ3" s="147">
        <f>DZ4</f>
        <v>44123</v>
      </c>
      <c r="EA3" s="148"/>
      <c r="EB3" s="148"/>
      <c r="EC3" s="148"/>
      <c r="ED3" s="148"/>
      <c r="EE3" s="148"/>
      <c r="EF3" s="149"/>
      <c r="EG3" s="147">
        <f>EG4</f>
        <v>44130</v>
      </c>
      <c r="EH3" s="148"/>
      <c r="EI3" s="148"/>
      <c r="EJ3" s="148"/>
      <c r="EK3" s="148"/>
      <c r="EL3" s="148"/>
      <c r="EM3" s="149"/>
      <c r="EN3" s="147">
        <f>EN4</f>
        <v>44137</v>
      </c>
      <c r="EO3" s="148"/>
      <c r="EP3" s="148"/>
      <c r="EQ3" s="148"/>
      <c r="ER3" s="148"/>
      <c r="ES3" s="148"/>
      <c r="ET3" s="149"/>
      <c r="EU3" s="147">
        <f>EU4</f>
        <v>44144</v>
      </c>
      <c r="EV3" s="148"/>
      <c r="EW3" s="148"/>
      <c r="EX3" s="148"/>
      <c r="EY3" s="148"/>
      <c r="EZ3" s="148"/>
      <c r="FA3" s="149"/>
      <c r="FB3" s="147">
        <f>FB4</f>
        <v>44151</v>
      </c>
      <c r="FC3" s="148"/>
      <c r="FD3" s="148"/>
      <c r="FE3" s="148"/>
      <c r="FF3" s="148"/>
      <c r="FG3" s="148"/>
      <c r="FH3" s="149"/>
      <c r="FI3" s="147">
        <f>FI4</f>
        <v>44158</v>
      </c>
      <c r="FJ3" s="148"/>
      <c r="FK3" s="148"/>
      <c r="FL3" s="148"/>
      <c r="FM3" s="148"/>
      <c r="FN3" s="148"/>
      <c r="FO3" s="149"/>
      <c r="FP3" s="147">
        <f>FP4</f>
        <v>44165</v>
      </c>
      <c r="FQ3" s="148"/>
      <c r="FR3" s="148"/>
      <c r="FS3" s="148"/>
      <c r="FT3" s="148"/>
      <c r="FU3" s="148"/>
      <c r="FV3" s="149"/>
      <c r="FW3" s="147">
        <f>FW4</f>
        <v>44172</v>
      </c>
      <c r="FX3" s="148"/>
      <c r="FY3" s="148"/>
      <c r="FZ3" s="148"/>
      <c r="GA3" s="148"/>
      <c r="GB3" s="148"/>
      <c r="GC3" s="149"/>
      <c r="GD3" s="147">
        <f>GD4</f>
        <v>44179</v>
      </c>
      <c r="GE3" s="148"/>
      <c r="GF3" s="148"/>
      <c r="GG3" s="148"/>
      <c r="GH3" s="148"/>
      <c r="GI3" s="148"/>
      <c r="GJ3" s="149"/>
      <c r="GK3" s="147">
        <f>GK4</f>
        <v>44186</v>
      </c>
      <c r="GL3" s="148"/>
      <c r="GM3" s="148"/>
      <c r="GN3" s="148"/>
      <c r="GO3" s="148"/>
      <c r="GP3" s="148"/>
      <c r="GQ3" s="149"/>
      <c r="GR3" s="147">
        <f>GR4</f>
        <v>44193</v>
      </c>
      <c r="GS3" s="148"/>
      <c r="GT3" s="148"/>
      <c r="GU3" s="148"/>
      <c r="GV3" s="148"/>
      <c r="GW3" s="148"/>
      <c r="GX3" s="149"/>
      <c r="GY3" s="147">
        <f>GY4</f>
        <v>44200</v>
      </c>
      <c r="GZ3" s="148"/>
      <c r="HA3" s="148"/>
      <c r="HB3" s="148"/>
      <c r="HC3" s="148"/>
      <c r="HD3" s="148"/>
      <c r="HE3" s="149"/>
      <c r="HF3" s="147">
        <f>HF4</f>
        <v>44207</v>
      </c>
      <c r="HG3" s="148"/>
      <c r="HH3" s="148"/>
      <c r="HI3" s="148"/>
      <c r="HJ3" s="148"/>
      <c r="HK3" s="148"/>
      <c r="HL3" s="149"/>
      <c r="HM3" s="147">
        <f>HM4</f>
        <v>44214</v>
      </c>
      <c r="HN3" s="148"/>
      <c r="HO3" s="148"/>
      <c r="HP3" s="148"/>
      <c r="HQ3" s="148"/>
      <c r="HR3" s="148"/>
      <c r="HS3" s="149"/>
      <c r="HT3" s="147">
        <f>HT4</f>
        <v>44221</v>
      </c>
      <c r="HU3" s="148"/>
      <c r="HV3" s="148"/>
      <c r="HW3" s="148"/>
      <c r="HX3" s="148"/>
      <c r="HY3" s="148"/>
      <c r="HZ3" s="149"/>
      <c r="IA3" s="147">
        <f>IA4</f>
        <v>44228</v>
      </c>
      <c r="IB3" s="148"/>
      <c r="IC3" s="148"/>
      <c r="ID3" s="148"/>
      <c r="IE3" s="148"/>
      <c r="IF3" s="148"/>
      <c r="IG3" s="149"/>
      <c r="IH3" s="147">
        <f>IH4</f>
        <v>44235</v>
      </c>
      <c r="II3" s="148"/>
      <c r="IJ3" s="148"/>
      <c r="IK3" s="148"/>
      <c r="IL3" s="148"/>
      <c r="IM3" s="148"/>
      <c r="IN3" s="149"/>
      <c r="IO3" s="147">
        <f>IO4</f>
        <v>44242</v>
      </c>
      <c r="IP3" s="148"/>
      <c r="IQ3" s="148"/>
      <c r="IR3" s="148"/>
      <c r="IS3" s="148"/>
      <c r="IT3" s="148"/>
      <c r="IU3" s="149"/>
      <c r="IV3" s="147">
        <f>IV4</f>
        <v>44249</v>
      </c>
      <c r="IW3" s="148"/>
      <c r="IX3" s="148"/>
      <c r="IY3" s="148"/>
      <c r="IZ3" s="148"/>
      <c r="JA3" s="148"/>
      <c r="JB3" s="149"/>
      <c r="JC3" s="147">
        <f>JC4</f>
        <v>44256</v>
      </c>
      <c r="JD3" s="148"/>
      <c r="JE3" s="148"/>
      <c r="JF3" s="148"/>
      <c r="JG3" s="148"/>
      <c r="JH3" s="148"/>
      <c r="JI3" s="149"/>
      <c r="JJ3" s="147">
        <f>JJ4</f>
        <v>44263</v>
      </c>
      <c r="JK3" s="148"/>
      <c r="JL3" s="148"/>
      <c r="JM3" s="148"/>
      <c r="JN3" s="148"/>
      <c r="JO3" s="148"/>
      <c r="JP3" s="149"/>
      <c r="JQ3" s="147">
        <f>JQ4</f>
        <v>44270</v>
      </c>
      <c r="JR3" s="148"/>
      <c r="JS3" s="148"/>
      <c r="JT3" s="148"/>
      <c r="JU3" s="148"/>
      <c r="JV3" s="148"/>
      <c r="JW3" s="149"/>
      <c r="JX3" s="147">
        <f>JX4</f>
        <v>44277</v>
      </c>
      <c r="JY3" s="148"/>
      <c r="JZ3" s="148"/>
      <c r="KA3" s="148"/>
      <c r="KB3" s="148"/>
      <c r="KC3" s="148"/>
      <c r="KD3" s="149"/>
      <c r="KE3" s="147">
        <f>KE4</f>
        <v>44284</v>
      </c>
      <c r="KF3" s="148"/>
      <c r="KG3" s="148"/>
      <c r="KH3" s="148"/>
      <c r="KI3" s="148"/>
      <c r="KJ3" s="148"/>
      <c r="KK3" s="149"/>
      <c r="KL3" s="147">
        <f>KL4</f>
        <v>44291</v>
      </c>
      <c r="KM3" s="148"/>
      <c r="KN3" s="148"/>
      <c r="KO3" s="148"/>
      <c r="KP3" s="148"/>
      <c r="KQ3" s="148"/>
      <c r="KR3" s="149"/>
      <c r="KS3" s="147">
        <f>KS4</f>
        <v>44298</v>
      </c>
      <c r="KT3" s="148"/>
      <c r="KU3" s="148"/>
      <c r="KV3" s="148"/>
      <c r="KW3" s="148"/>
      <c r="KX3" s="148"/>
      <c r="KY3" s="149"/>
      <c r="KZ3" s="147">
        <f>KZ4</f>
        <v>44305</v>
      </c>
      <c r="LA3" s="148"/>
      <c r="LB3" s="148"/>
      <c r="LC3" s="148"/>
      <c r="LD3" s="148"/>
      <c r="LE3" s="148"/>
      <c r="LF3" s="149"/>
      <c r="LG3" s="147">
        <f>LG4</f>
        <v>44312</v>
      </c>
      <c r="LH3" s="148"/>
      <c r="LI3" s="148"/>
      <c r="LJ3" s="148"/>
      <c r="LK3" s="148"/>
      <c r="LL3" s="148"/>
      <c r="LM3" s="149"/>
      <c r="LN3" s="147">
        <f>LN4</f>
        <v>44319</v>
      </c>
      <c r="LO3" s="148"/>
      <c r="LP3" s="148"/>
      <c r="LQ3" s="148"/>
      <c r="LR3" s="148"/>
      <c r="LS3" s="148"/>
      <c r="LT3" s="149"/>
      <c r="LU3" s="147">
        <f>LU4</f>
        <v>44326</v>
      </c>
      <c r="LV3" s="148"/>
      <c r="LW3" s="148"/>
      <c r="LX3" s="148"/>
      <c r="LY3" s="148"/>
      <c r="LZ3" s="148"/>
      <c r="MA3" s="149"/>
      <c r="MB3" s="147">
        <f>MB4</f>
        <v>44333</v>
      </c>
      <c r="MC3" s="148"/>
      <c r="MD3" s="148"/>
      <c r="ME3" s="148"/>
      <c r="MF3" s="148"/>
      <c r="MG3" s="148"/>
      <c r="MH3" s="149"/>
      <c r="MI3" s="147">
        <f>MI4</f>
        <v>44340</v>
      </c>
      <c r="MJ3" s="148"/>
      <c r="MK3" s="148"/>
      <c r="ML3" s="148"/>
      <c r="MM3" s="148"/>
      <c r="MN3" s="148"/>
      <c r="MO3" s="149"/>
      <c r="MP3" s="147">
        <f>MP4</f>
        <v>44347</v>
      </c>
      <c r="MQ3" s="148"/>
      <c r="MR3" s="148"/>
      <c r="MS3" s="148"/>
      <c r="MT3" s="148"/>
      <c r="MU3" s="148"/>
      <c r="MV3" s="149"/>
      <c r="MW3" s="147">
        <f>MW4</f>
        <v>44354</v>
      </c>
      <c r="MX3" s="148"/>
      <c r="MY3" s="148"/>
      <c r="MZ3" s="148"/>
      <c r="NA3" s="148"/>
      <c r="NB3" s="148"/>
      <c r="NC3" s="149"/>
      <c r="ND3" s="147">
        <f>ND4</f>
        <v>44361</v>
      </c>
      <c r="NE3" s="148"/>
      <c r="NF3" s="148"/>
      <c r="NG3" s="148"/>
      <c r="NH3" s="148"/>
      <c r="NI3" s="148"/>
      <c r="NJ3" s="149"/>
      <c r="NK3" s="147">
        <f>NK4</f>
        <v>44368</v>
      </c>
      <c r="NL3" s="148"/>
      <c r="NM3" s="148"/>
      <c r="NN3" s="148"/>
      <c r="NO3" s="148"/>
      <c r="NP3" s="148"/>
      <c r="NQ3" s="149"/>
      <c r="NR3" s="147">
        <f>NR4</f>
        <v>44375</v>
      </c>
      <c r="NS3" s="148"/>
      <c r="NT3" s="148"/>
      <c r="NU3" s="148"/>
      <c r="NV3" s="148"/>
      <c r="NW3" s="148"/>
      <c r="NX3" s="149"/>
      <c r="NY3" s="147">
        <f>NY4</f>
        <v>44382</v>
      </c>
      <c r="NZ3" s="148"/>
      <c r="OA3" s="148"/>
      <c r="OB3" s="148"/>
      <c r="OC3" s="148"/>
      <c r="OD3" s="148"/>
      <c r="OE3" s="149"/>
      <c r="OF3" s="147">
        <f>OF4</f>
        <v>44389</v>
      </c>
      <c r="OG3" s="148"/>
      <c r="OH3" s="148"/>
      <c r="OI3" s="148"/>
      <c r="OJ3" s="148"/>
      <c r="OK3" s="148"/>
      <c r="OL3" s="149"/>
      <c r="OM3" s="147">
        <f>OM4</f>
        <v>44396</v>
      </c>
      <c r="ON3" s="148"/>
      <c r="OO3" s="148"/>
      <c r="OP3" s="148"/>
      <c r="OQ3" s="148"/>
      <c r="OR3" s="148"/>
      <c r="OS3" s="149"/>
      <c r="OT3" s="147">
        <f>OT4</f>
        <v>44403</v>
      </c>
      <c r="OU3" s="148"/>
      <c r="OV3" s="148"/>
      <c r="OW3" s="148"/>
      <c r="OX3" s="148"/>
      <c r="OY3" s="148"/>
      <c r="OZ3" s="149"/>
      <c r="PA3" s="147">
        <f>PA4</f>
        <v>44410</v>
      </c>
      <c r="PB3" s="148"/>
      <c r="PC3" s="148"/>
      <c r="PD3" s="148"/>
      <c r="PE3" s="148"/>
      <c r="PF3" s="148"/>
      <c r="PG3" s="149"/>
      <c r="PH3" s="147">
        <f>PH4</f>
        <v>44417</v>
      </c>
      <c r="PI3" s="148"/>
      <c r="PJ3" s="148"/>
      <c r="PK3" s="148"/>
      <c r="PL3" s="148"/>
      <c r="PM3" s="148"/>
      <c r="PN3" s="149"/>
      <c r="PO3" s="147">
        <f>PO4</f>
        <v>44424</v>
      </c>
      <c r="PP3" s="148"/>
      <c r="PQ3" s="148"/>
      <c r="PR3" s="148"/>
      <c r="PS3" s="148"/>
      <c r="PT3" s="148"/>
      <c r="PU3" s="149"/>
      <c r="PV3" s="147">
        <f>PV4</f>
        <v>44431</v>
      </c>
      <c r="PW3" s="148"/>
      <c r="PX3" s="148"/>
      <c r="PY3" s="148"/>
      <c r="PZ3" s="148"/>
      <c r="QA3" s="148"/>
      <c r="QB3" s="149"/>
      <c r="QC3" s="147">
        <f>QC4</f>
        <v>44438</v>
      </c>
      <c r="QD3" s="148"/>
      <c r="QE3" s="148"/>
      <c r="QF3" s="148"/>
      <c r="QG3" s="148"/>
      <c r="QH3" s="148"/>
      <c r="QI3" s="149"/>
      <c r="QJ3" s="147">
        <f>QJ4</f>
        <v>44445</v>
      </c>
      <c r="QK3" s="148"/>
      <c r="QL3" s="148"/>
      <c r="QM3" s="148"/>
      <c r="QN3" s="148"/>
      <c r="QO3" s="148"/>
      <c r="QP3" s="149"/>
      <c r="QQ3" s="147">
        <f>QQ4</f>
        <v>44452</v>
      </c>
      <c r="QR3" s="148"/>
      <c r="QS3" s="148"/>
      <c r="QT3" s="148"/>
      <c r="QU3" s="148"/>
      <c r="QV3" s="148"/>
      <c r="QW3" s="149"/>
      <c r="QX3" s="147">
        <f>QX4</f>
        <v>44459</v>
      </c>
      <c r="QY3" s="148"/>
      <c r="QZ3" s="148"/>
      <c r="RA3" s="148"/>
      <c r="RB3" s="148"/>
      <c r="RC3" s="148"/>
      <c r="RD3" s="149"/>
      <c r="RE3" s="147">
        <f>RE4</f>
        <v>44466</v>
      </c>
      <c r="RF3" s="148"/>
      <c r="RG3" s="148"/>
      <c r="RH3" s="148"/>
      <c r="RI3" s="148"/>
      <c r="RJ3" s="148"/>
      <c r="RK3" s="149"/>
      <c r="RL3" s="147">
        <f>RL4</f>
        <v>44473</v>
      </c>
      <c r="RM3" s="148"/>
      <c r="RN3" s="148"/>
      <c r="RO3" s="148"/>
      <c r="RP3" s="148"/>
      <c r="RQ3" s="148"/>
      <c r="RR3" s="149"/>
      <c r="RS3" s="147">
        <f>RS4</f>
        <v>44480</v>
      </c>
      <c r="RT3" s="148"/>
      <c r="RU3" s="148"/>
      <c r="RV3" s="148"/>
      <c r="RW3" s="148"/>
      <c r="RX3" s="148"/>
      <c r="RY3" s="149"/>
      <c r="RZ3" s="147">
        <f>RZ4</f>
        <v>44487</v>
      </c>
      <c r="SA3" s="148"/>
      <c r="SB3" s="148"/>
      <c r="SC3" s="148"/>
      <c r="SD3" s="148"/>
      <c r="SE3" s="148"/>
      <c r="SF3" s="149"/>
      <c r="SG3" s="147">
        <f>SG4</f>
        <v>44494</v>
      </c>
      <c r="SH3" s="148"/>
      <c r="SI3" s="148"/>
      <c r="SJ3" s="148"/>
      <c r="SK3" s="148"/>
      <c r="SL3" s="148"/>
      <c r="SM3" s="149"/>
      <c r="SN3" s="147">
        <f>SN4</f>
        <v>44501</v>
      </c>
      <c r="SO3" s="148"/>
      <c r="SP3" s="148"/>
      <c r="SQ3" s="148"/>
      <c r="SR3" s="148"/>
      <c r="SS3" s="148"/>
      <c r="ST3" s="149"/>
      <c r="SU3" s="147">
        <f>SU4</f>
        <v>44508</v>
      </c>
      <c r="SV3" s="148"/>
      <c r="SW3" s="148"/>
      <c r="SX3" s="148"/>
      <c r="SY3" s="148"/>
      <c r="SZ3" s="148"/>
      <c r="TA3" s="149"/>
      <c r="TB3" s="147">
        <f>TB4</f>
        <v>44515</v>
      </c>
      <c r="TC3" s="148"/>
      <c r="TD3" s="148"/>
      <c r="TE3" s="148"/>
      <c r="TF3" s="148"/>
      <c r="TG3" s="148"/>
      <c r="TH3" s="149"/>
      <c r="TI3" s="147">
        <f>TI4</f>
        <v>44522</v>
      </c>
      <c r="TJ3" s="148"/>
      <c r="TK3" s="148"/>
      <c r="TL3" s="148"/>
      <c r="TM3" s="148"/>
      <c r="TN3" s="148"/>
      <c r="TO3" s="149"/>
      <c r="TP3" s="147">
        <f>TP4</f>
        <v>44529</v>
      </c>
      <c r="TQ3" s="148"/>
      <c r="TR3" s="148"/>
      <c r="TS3" s="148"/>
      <c r="TT3" s="148"/>
      <c r="TU3" s="148"/>
      <c r="TV3" s="149"/>
      <c r="TW3" s="147">
        <f>TW4</f>
        <v>44536</v>
      </c>
      <c r="TX3" s="148"/>
      <c r="TY3" s="148"/>
      <c r="TZ3" s="148"/>
      <c r="UA3" s="148"/>
      <c r="UB3" s="148"/>
      <c r="UC3" s="149"/>
      <c r="UD3" s="147">
        <f>UD4</f>
        <v>44543</v>
      </c>
      <c r="UE3" s="148"/>
      <c r="UF3" s="148"/>
      <c r="UG3" s="148"/>
      <c r="UH3" s="148"/>
      <c r="UI3" s="148"/>
      <c r="UJ3" s="149"/>
      <c r="UK3" s="147">
        <f>UK4</f>
        <v>44550</v>
      </c>
      <c r="UL3" s="148"/>
      <c r="UM3" s="148"/>
      <c r="UN3" s="148"/>
      <c r="UO3" s="148"/>
      <c r="UP3" s="148"/>
      <c r="UQ3" s="149"/>
      <c r="UR3" s="147">
        <f>UR4</f>
        <v>44557</v>
      </c>
      <c r="US3" s="148"/>
      <c r="UT3" s="148"/>
      <c r="UU3" s="148"/>
      <c r="UV3" s="148"/>
      <c r="UW3" s="148"/>
      <c r="UX3" s="149"/>
      <c r="UY3" s="147">
        <f>UY4</f>
        <v>44564</v>
      </c>
      <c r="UZ3" s="148"/>
      <c r="VA3" s="148"/>
      <c r="VB3" s="148"/>
      <c r="VC3" s="148"/>
      <c r="VD3" s="148"/>
      <c r="VE3" s="149"/>
      <c r="VF3" s="147">
        <f>VF4</f>
        <v>44571</v>
      </c>
      <c r="VG3" s="148"/>
      <c r="VH3" s="148"/>
      <c r="VI3" s="148"/>
      <c r="VJ3" s="148"/>
      <c r="VK3" s="148"/>
      <c r="VL3" s="149"/>
      <c r="VM3" s="147">
        <f>VM4</f>
        <v>44578</v>
      </c>
      <c r="VN3" s="148"/>
      <c r="VO3" s="148"/>
      <c r="VP3" s="148"/>
      <c r="VQ3" s="148"/>
      <c r="VR3" s="148"/>
      <c r="VS3" s="149"/>
      <c r="VT3" s="147">
        <f>VT4</f>
        <v>44585</v>
      </c>
      <c r="VU3" s="148"/>
      <c r="VV3" s="148"/>
      <c r="VW3" s="148"/>
      <c r="VX3" s="148"/>
      <c r="VY3" s="148"/>
      <c r="VZ3" s="149"/>
      <c r="WA3" s="147">
        <f>WA4</f>
        <v>44592</v>
      </c>
      <c r="WB3" s="148"/>
      <c r="WC3" s="148"/>
      <c r="WD3" s="148"/>
      <c r="WE3" s="148"/>
      <c r="WF3" s="148"/>
      <c r="WG3" s="149"/>
      <c r="WH3" s="147">
        <f>WH4</f>
        <v>44599</v>
      </c>
      <c r="WI3" s="148"/>
      <c r="WJ3" s="148"/>
      <c r="WK3" s="148"/>
      <c r="WL3" s="148"/>
      <c r="WM3" s="148"/>
      <c r="WN3" s="149"/>
      <c r="WO3" s="147">
        <f>WO4</f>
        <v>44606</v>
      </c>
      <c r="WP3" s="148"/>
      <c r="WQ3" s="148"/>
      <c r="WR3" s="148"/>
      <c r="WS3" s="148"/>
      <c r="WT3" s="148"/>
      <c r="WU3" s="149"/>
      <c r="WV3" s="147">
        <f>WV4</f>
        <v>44613</v>
      </c>
      <c r="WW3" s="148"/>
      <c r="WX3" s="148"/>
      <c r="WY3" s="148"/>
      <c r="WZ3" s="148"/>
      <c r="XA3" s="148"/>
      <c r="XB3" s="149"/>
      <c r="XC3" s="147">
        <f>XC4</f>
        <v>44620</v>
      </c>
      <c r="XD3" s="148"/>
      <c r="XE3" s="148"/>
      <c r="XF3" s="148"/>
      <c r="XG3" s="148"/>
      <c r="XH3" s="148"/>
      <c r="XI3" s="149"/>
      <c r="XJ3" s="147">
        <f>XJ4</f>
        <v>44627</v>
      </c>
      <c r="XK3" s="148"/>
      <c r="XL3" s="148"/>
      <c r="XM3" s="148"/>
      <c r="XN3" s="148"/>
      <c r="XO3" s="148"/>
      <c r="XP3" s="149"/>
      <c r="XQ3" s="147">
        <f>XQ4</f>
        <v>44634</v>
      </c>
      <c r="XR3" s="148"/>
      <c r="XS3" s="148"/>
      <c r="XT3" s="148"/>
      <c r="XU3" s="148"/>
      <c r="XV3" s="148"/>
      <c r="XW3" s="149"/>
      <c r="XX3" s="147">
        <f>XX4</f>
        <v>44641</v>
      </c>
      <c r="XY3" s="148"/>
      <c r="XZ3" s="148"/>
      <c r="YA3" s="148"/>
      <c r="YB3" s="148"/>
      <c r="YC3" s="148"/>
      <c r="YD3" s="149"/>
      <c r="YE3" s="147">
        <f>YE4</f>
        <v>44648</v>
      </c>
      <c r="YF3" s="148"/>
      <c r="YG3" s="148"/>
      <c r="YH3" s="148"/>
      <c r="YI3" s="148"/>
      <c r="YJ3" s="148"/>
      <c r="YK3" s="149"/>
      <c r="YL3" s="147">
        <f>YL4</f>
        <v>44655</v>
      </c>
      <c r="YM3" s="148"/>
      <c r="YN3" s="148"/>
      <c r="YO3" s="148"/>
      <c r="YP3" s="148"/>
      <c r="YQ3" s="148"/>
      <c r="YR3" s="149"/>
      <c r="YS3" s="147">
        <f>YS4</f>
        <v>44662</v>
      </c>
      <c r="YT3" s="148"/>
      <c r="YU3" s="148"/>
      <c r="YV3" s="148"/>
      <c r="YW3" s="148"/>
      <c r="YX3" s="148"/>
      <c r="YY3" s="149"/>
      <c r="YZ3" s="147">
        <f>YZ4</f>
        <v>44669</v>
      </c>
      <c r="ZA3" s="148"/>
      <c r="ZB3" s="148"/>
      <c r="ZC3" s="148"/>
      <c r="ZD3" s="148"/>
      <c r="ZE3" s="148"/>
      <c r="ZF3" s="149"/>
      <c r="ZG3" s="147">
        <f>ZG4</f>
        <v>44676</v>
      </c>
      <c r="ZH3" s="148"/>
      <c r="ZI3" s="148"/>
      <c r="ZJ3" s="148"/>
      <c r="ZK3" s="148"/>
      <c r="ZL3" s="148"/>
      <c r="ZM3" s="149"/>
      <c r="ZN3" s="147">
        <f>ZN4</f>
        <v>44683</v>
      </c>
      <c r="ZO3" s="148"/>
      <c r="ZP3" s="148"/>
      <c r="ZQ3" s="148"/>
      <c r="ZR3" s="148"/>
      <c r="ZS3" s="148"/>
      <c r="ZT3" s="149"/>
      <c r="ZU3" s="147">
        <f>ZU4</f>
        <v>44690</v>
      </c>
      <c r="ZV3" s="148"/>
      <c r="ZW3" s="148"/>
      <c r="ZX3" s="148"/>
      <c r="ZY3" s="148"/>
      <c r="ZZ3" s="148"/>
      <c r="AAA3" s="149"/>
      <c r="AAB3" s="147">
        <f>AAB4</f>
        <v>44697</v>
      </c>
      <c r="AAC3" s="148"/>
      <c r="AAD3" s="148"/>
      <c r="AAE3" s="148"/>
      <c r="AAF3" s="148"/>
      <c r="AAG3" s="148"/>
      <c r="AAH3" s="149"/>
      <c r="AAI3" s="147">
        <f>AAI4</f>
        <v>44704</v>
      </c>
      <c r="AAJ3" s="148"/>
      <c r="AAK3" s="148"/>
      <c r="AAL3" s="148"/>
      <c r="AAM3" s="148"/>
      <c r="AAN3" s="148"/>
      <c r="AAO3" s="149"/>
      <c r="AAP3" s="147">
        <f>AAP4</f>
        <v>44711</v>
      </c>
      <c r="AAQ3" s="148"/>
      <c r="AAR3" s="148"/>
      <c r="AAS3" s="148"/>
      <c r="AAT3" s="148"/>
      <c r="AAU3" s="148"/>
      <c r="AAV3" s="149"/>
      <c r="AAW3" s="147">
        <f>AAW4</f>
        <v>44718</v>
      </c>
      <c r="AAX3" s="148"/>
      <c r="AAY3" s="148"/>
      <c r="AAZ3" s="148"/>
      <c r="ABA3" s="148"/>
      <c r="ABB3" s="148"/>
      <c r="ABC3" s="149"/>
      <c r="ABD3" s="147">
        <f>ABD4</f>
        <v>44725</v>
      </c>
      <c r="ABE3" s="148"/>
      <c r="ABF3" s="148"/>
      <c r="ABG3" s="148"/>
      <c r="ABH3" s="148"/>
      <c r="ABI3" s="148"/>
      <c r="ABJ3" s="149"/>
      <c r="ABK3" s="147">
        <f>ABK4</f>
        <v>44732</v>
      </c>
      <c r="ABL3" s="148"/>
      <c r="ABM3" s="148"/>
      <c r="ABN3" s="148"/>
      <c r="ABO3" s="148"/>
      <c r="ABP3" s="148"/>
      <c r="ABQ3" s="149"/>
      <c r="ABR3" s="147">
        <f>ABR4</f>
        <v>44739</v>
      </c>
      <c r="ABS3" s="148"/>
      <c r="ABT3" s="148"/>
      <c r="ABU3" s="148"/>
      <c r="ABV3" s="148"/>
      <c r="ABW3" s="148"/>
      <c r="ABX3" s="149"/>
      <c r="ABY3" s="147">
        <f>ABY4</f>
        <v>44746</v>
      </c>
      <c r="ABZ3" s="148"/>
      <c r="ACA3" s="148"/>
      <c r="ACB3" s="148"/>
      <c r="ACC3" s="148"/>
      <c r="ACD3" s="148"/>
      <c r="ACE3" s="149"/>
      <c r="ACF3" s="147">
        <f>ACF4</f>
        <v>44753</v>
      </c>
      <c r="ACG3" s="148"/>
      <c r="ACH3" s="148"/>
      <c r="ACI3" s="148"/>
      <c r="ACJ3" s="148"/>
      <c r="ACK3" s="148"/>
      <c r="ACL3" s="149"/>
      <c r="ACM3" s="147">
        <f>ACM4</f>
        <v>44760</v>
      </c>
      <c r="ACN3" s="148"/>
      <c r="ACO3" s="148"/>
      <c r="ACP3" s="148"/>
      <c r="ACQ3" s="148"/>
      <c r="ACR3" s="148"/>
      <c r="ACS3" s="149"/>
      <c r="ACT3" s="147">
        <f>ACT4</f>
        <v>44767</v>
      </c>
      <c r="ACU3" s="148"/>
      <c r="ACV3" s="148"/>
      <c r="ACW3" s="148"/>
      <c r="ACX3" s="148"/>
      <c r="ACY3" s="148"/>
      <c r="ACZ3" s="149"/>
      <c r="ADA3" s="147">
        <f>ADA4</f>
        <v>44774</v>
      </c>
      <c r="ADB3" s="148"/>
      <c r="ADC3" s="148"/>
      <c r="ADD3" s="148"/>
      <c r="ADE3" s="148"/>
      <c r="ADF3" s="148"/>
      <c r="ADG3" s="149"/>
      <c r="ADH3" s="147">
        <f>ADH4</f>
        <v>44781</v>
      </c>
      <c r="ADI3" s="148"/>
      <c r="ADJ3" s="148"/>
      <c r="ADK3" s="148"/>
      <c r="ADL3" s="148"/>
      <c r="ADM3" s="148"/>
      <c r="ADN3" s="149"/>
      <c r="ADO3" s="147">
        <f>ADO4</f>
        <v>44788</v>
      </c>
      <c r="ADP3" s="148"/>
      <c r="ADQ3" s="148"/>
      <c r="ADR3" s="148"/>
      <c r="ADS3" s="148"/>
      <c r="ADT3" s="148"/>
      <c r="ADU3" s="149"/>
      <c r="ADV3" s="147">
        <f>ADV4</f>
        <v>44795</v>
      </c>
      <c r="ADW3" s="148"/>
      <c r="ADX3" s="148"/>
      <c r="ADY3" s="148"/>
      <c r="ADZ3" s="148"/>
      <c r="AEA3" s="148"/>
      <c r="AEB3" s="149"/>
      <c r="AEC3" s="147">
        <f>AEC4</f>
        <v>44802</v>
      </c>
      <c r="AED3" s="148"/>
      <c r="AEE3" s="148"/>
      <c r="AEF3" s="148"/>
      <c r="AEG3" s="148"/>
      <c r="AEH3" s="148"/>
      <c r="AEI3" s="149"/>
      <c r="AEJ3" s="147">
        <f>AEJ4</f>
        <v>44809</v>
      </c>
      <c r="AEK3" s="148"/>
      <c r="AEL3" s="148"/>
      <c r="AEM3" s="148"/>
      <c r="AEN3" s="148"/>
      <c r="AEO3" s="148"/>
      <c r="AEP3" s="149"/>
      <c r="AEQ3" s="147">
        <f>AEQ4</f>
        <v>44816</v>
      </c>
      <c r="AER3" s="148"/>
      <c r="AES3" s="148"/>
      <c r="AET3" s="148"/>
      <c r="AEU3" s="148"/>
      <c r="AEV3" s="148"/>
      <c r="AEW3" s="149"/>
      <c r="AEX3" s="147">
        <f>AEX4</f>
        <v>44823</v>
      </c>
      <c r="AEY3" s="148"/>
      <c r="AEZ3" s="148"/>
      <c r="AFA3" s="148"/>
      <c r="AFB3" s="148"/>
      <c r="AFC3" s="148"/>
      <c r="AFD3" s="149"/>
    </row>
    <row r="4" spans="1:836" ht="42" customHeight="1" x14ac:dyDescent="0.55000000000000004">
      <c r="A4" s="52"/>
      <c r="B4" s="97"/>
      <c r="C4" s="54"/>
      <c r="D4" s="52"/>
      <c r="E4" s="52"/>
      <c r="F4" s="52"/>
      <c r="G4" s="52"/>
      <c r="H4" s="52"/>
      <c r="I4" s="52"/>
      <c r="J4" s="52"/>
      <c r="K4" s="55">
        <f>C3-WEEKDAY(C3,1)+2+7*(H3-1)</f>
        <v>44004</v>
      </c>
      <c r="L4" s="56">
        <f t="shared" ref="L4:BN4" si="0">K4+1</f>
        <v>44005</v>
      </c>
      <c r="M4" s="56">
        <f t="shared" si="0"/>
        <v>44006</v>
      </c>
      <c r="N4" s="56">
        <f t="shared" si="0"/>
        <v>44007</v>
      </c>
      <c r="O4" s="56">
        <f t="shared" si="0"/>
        <v>44008</v>
      </c>
      <c r="P4" s="56">
        <f t="shared" si="0"/>
        <v>44009</v>
      </c>
      <c r="Q4" s="57">
        <f t="shared" si="0"/>
        <v>44010</v>
      </c>
      <c r="R4" s="55">
        <f t="shared" si="0"/>
        <v>44011</v>
      </c>
      <c r="S4" s="56">
        <f t="shared" si="0"/>
        <v>44012</v>
      </c>
      <c r="T4" s="56">
        <f t="shared" si="0"/>
        <v>44013</v>
      </c>
      <c r="U4" s="56">
        <f t="shared" si="0"/>
        <v>44014</v>
      </c>
      <c r="V4" s="56">
        <f t="shared" si="0"/>
        <v>44015</v>
      </c>
      <c r="W4" s="56">
        <f t="shared" si="0"/>
        <v>44016</v>
      </c>
      <c r="X4" s="57">
        <f t="shared" si="0"/>
        <v>44017</v>
      </c>
      <c r="Y4" s="55">
        <f t="shared" si="0"/>
        <v>44018</v>
      </c>
      <c r="Z4" s="56">
        <f t="shared" si="0"/>
        <v>44019</v>
      </c>
      <c r="AA4" s="56">
        <f t="shared" si="0"/>
        <v>44020</v>
      </c>
      <c r="AB4" s="56">
        <f t="shared" si="0"/>
        <v>44021</v>
      </c>
      <c r="AC4" s="56">
        <f t="shared" si="0"/>
        <v>44022</v>
      </c>
      <c r="AD4" s="56">
        <f t="shared" si="0"/>
        <v>44023</v>
      </c>
      <c r="AE4" s="57">
        <f t="shared" si="0"/>
        <v>44024</v>
      </c>
      <c r="AF4" s="55">
        <f t="shared" si="0"/>
        <v>44025</v>
      </c>
      <c r="AG4" s="56">
        <f t="shared" si="0"/>
        <v>44026</v>
      </c>
      <c r="AH4" s="56">
        <f t="shared" si="0"/>
        <v>44027</v>
      </c>
      <c r="AI4" s="56">
        <f t="shared" si="0"/>
        <v>44028</v>
      </c>
      <c r="AJ4" s="56">
        <f t="shared" si="0"/>
        <v>44029</v>
      </c>
      <c r="AK4" s="56">
        <f t="shared" si="0"/>
        <v>44030</v>
      </c>
      <c r="AL4" s="57">
        <f t="shared" si="0"/>
        <v>44031</v>
      </c>
      <c r="AM4" s="55">
        <f t="shared" si="0"/>
        <v>44032</v>
      </c>
      <c r="AN4" s="56">
        <f t="shared" si="0"/>
        <v>44033</v>
      </c>
      <c r="AO4" s="56">
        <f t="shared" si="0"/>
        <v>44034</v>
      </c>
      <c r="AP4" s="56">
        <f t="shared" si="0"/>
        <v>44035</v>
      </c>
      <c r="AQ4" s="56">
        <f t="shared" si="0"/>
        <v>44036</v>
      </c>
      <c r="AR4" s="56">
        <f t="shared" si="0"/>
        <v>44037</v>
      </c>
      <c r="AS4" s="57">
        <f t="shared" si="0"/>
        <v>44038</v>
      </c>
      <c r="AT4" s="55">
        <f t="shared" si="0"/>
        <v>44039</v>
      </c>
      <c r="AU4" s="56">
        <f t="shared" si="0"/>
        <v>44040</v>
      </c>
      <c r="AV4" s="56">
        <f t="shared" si="0"/>
        <v>44041</v>
      </c>
      <c r="AW4" s="56">
        <f t="shared" si="0"/>
        <v>44042</v>
      </c>
      <c r="AX4" s="56">
        <f t="shared" si="0"/>
        <v>44043</v>
      </c>
      <c r="AY4" s="56">
        <f t="shared" si="0"/>
        <v>44044</v>
      </c>
      <c r="AZ4" s="57">
        <f t="shared" si="0"/>
        <v>44045</v>
      </c>
      <c r="BA4" s="55">
        <f t="shared" si="0"/>
        <v>44046</v>
      </c>
      <c r="BB4" s="56">
        <f t="shared" si="0"/>
        <v>44047</v>
      </c>
      <c r="BC4" s="56">
        <f t="shared" si="0"/>
        <v>44048</v>
      </c>
      <c r="BD4" s="56">
        <f t="shared" si="0"/>
        <v>44049</v>
      </c>
      <c r="BE4" s="56">
        <f t="shared" si="0"/>
        <v>44050</v>
      </c>
      <c r="BF4" s="56">
        <f t="shared" si="0"/>
        <v>44051</v>
      </c>
      <c r="BG4" s="57">
        <f t="shared" si="0"/>
        <v>44052</v>
      </c>
      <c r="BH4" s="55">
        <f t="shared" si="0"/>
        <v>44053</v>
      </c>
      <c r="BI4" s="56">
        <f t="shared" si="0"/>
        <v>44054</v>
      </c>
      <c r="BJ4" s="56">
        <f t="shared" si="0"/>
        <v>44055</v>
      </c>
      <c r="BK4" s="56">
        <f t="shared" si="0"/>
        <v>44056</v>
      </c>
      <c r="BL4" s="56">
        <f t="shared" si="0"/>
        <v>44057</v>
      </c>
      <c r="BM4" s="56">
        <f t="shared" si="0"/>
        <v>44058</v>
      </c>
      <c r="BN4" s="57">
        <f t="shared" si="0"/>
        <v>44059</v>
      </c>
      <c r="BO4" s="55">
        <f t="shared" ref="BO4:DZ4" si="1">BN4+1</f>
        <v>44060</v>
      </c>
      <c r="BP4" s="56">
        <f t="shared" si="1"/>
        <v>44061</v>
      </c>
      <c r="BQ4" s="56">
        <f t="shared" si="1"/>
        <v>44062</v>
      </c>
      <c r="BR4" s="56">
        <f t="shared" si="1"/>
        <v>44063</v>
      </c>
      <c r="BS4" s="56">
        <f t="shared" si="1"/>
        <v>44064</v>
      </c>
      <c r="BT4" s="56">
        <f t="shared" si="1"/>
        <v>44065</v>
      </c>
      <c r="BU4" s="57">
        <f t="shared" si="1"/>
        <v>44066</v>
      </c>
      <c r="BV4" s="55">
        <f t="shared" si="1"/>
        <v>44067</v>
      </c>
      <c r="BW4" s="56">
        <f t="shared" si="1"/>
        <v>44068</v>
      </c>
      <c r="BX4" s="56">
        <f t="shared" si="1"/>
        <v>44069</v>
      </c>
      <c r="BY4" s="56">
        <f t="shared" si="1"/>
        <v>44070</v>
      </c>
      <c r="BZ4" s="56">
        <f t="shared" si="1"/>
        <v>44071</v>
      </c>
      <c r="CA4" s="56">
        <f t="shared" si="1"/>
        <v>44072</v>
      </c>
      <c r="CB4" s="57">
        <f t="shared" si="1"/>
        <v>44073</v>
      </c>
      <c r="CC4" s="55">
        <f t="shared" si="1"/>
        <v>44074</v>
      </c>
      <c r="CD4" s="56">
        <f t="shared" si="1"/>
        <v>44075</v>
      </c>
      <c r="CE4" s="56">
        <f t="shared" si="1"/>
        <v>44076</v>
      </c>
      <c r="CF4" s="56">
        <f t="shared" si="1"/>
        <v>44077</v>
      </c>
      <c r="CG4" s="56">
        <f t="shared" si="1"/>
        <v>44078</v>
      </c>
      <c r="CH4" s="56">
        <f t="shared" si="1"/>
        <v>44079</v>
      </c>
      <c r="CI4" s="57">
        <f t="shared" si="1"/>
        <v>44080</v>
      </c>
      <c r="CJ4" s="55">
        <f t="shared" si="1"/>
        <v>44081</v>
      </c>
      <c r="CK4" s="56">
        <f t="shared" si="1"/>
        <v>44082</v>
      </c>
      <c r="CL4" s="56">
        <f t="shared" si="1"/>
        <v>44083</v>
      </c>
      <c r="CM4" s="56">
        <f t="shared" si="1"/>
        <v>44084</v>
      </c>
      <c r="CN4" s="56">
        <f t="shared" si="1"/>
        <v>44085</v>
      </c>
      <c r="CO4" s="56">
        <f t="shared" si="1"/>
        <v>44086</v>
      </c>
      <c r="CP4" s="57">
        <f t="shared" si="1"/>
        <v>44087</v>
      </c>
      <c r="CQ4" s="55">
        <f t="shared" si="1"/>
        <v>44088</v>
      </c>
      <c r="CR4" s="56">
        <f t="shared" si="1"/>
        <v>44089</v>
      </c>
      <c r="CS4" s="56">
        <f t="shared" si="1"/>
        <v>44090</v>
      </c>
      <c r="CT4" s="56">
        <f t="shared" si="1"/>
        <v>44091</v>
      </c>
      <c r="CU4" s="56">
        <f t="shared" si="1"/>
        <v>44092</v>
      </c>
      <c r="CV4" s="56">
        <f t="shared" si="1"/>
        <v>44093</v>
      </c>
      <c r="CW4" s="57">
        <f t="shared" si="1"/>
        <v>44094</v>
      </c>
      <c r="CX4" s="55">
        <f t="shared" si="1"/>
        <v>44095</v>
      </c>
      <c r="CY4" s="56">
        <f t="shared" si="1"/>
        <v>44096</v>
      </c>
      <c r="CZ4" s="56">
        <f t="shared" si="1"/>
        <v>44097</v>
      </c>
      <c r="DA4" s="56">
        <f t="shared" si="1"/>
        <v>44098</v>
      </c>
      <c r="DB4" s="56">
        <f t="shared" si="1"/>
        <v>44099</v>
      </c>
      <c r="DC4" s="56">
        <f t="shared" si="1"/>
        <v>44100</v>
      </c>
      <c r="DD4" s="57">
        <f t="shared" si="1"/>
        <v>44101</v>
      </c>
      <c r="DE4" s="55">
        <f t="shared" si="1"/>
        <v>44102</v>
      </c>
      <c r="DF4" s="56">
        <f t="shared" si="1"/>
        <v>44103</v>
      </c>
      <c r="DG4" s="56">
        <f t="shared" si="1"/>
        <v>44104</v>
      </c>
      <c r="DH4" s="56">
        <f t="shared" si="1"/>
        <v>44105</v>
      </c>
      <c r="DI4" s="56">
        <f t="shared" si="1"/>
        <v>44106</v>
      </c>
      <c r="DJ4" s="56">
        <f t="shared" si="1"/>
        <v>44107</v>
      </c>
      <c r="DK4" s="57">
        <f t="shared" si="1"/>
        <v>44108</v>
      </c>
      <c r="DL4" s="55">
        <f t="shared" si="1"/>
        <v>44109</v>
      </c>
      <c r="DM4" s="56">
        <f t="shared" si="1"/>
        <v>44110</v>
      </c>
      <c r="DN4" s="56">
        <f t="shared" si="1"/>
        <v>44111</v>
      </c>
      <c r="DO4" s="56">
        <f t="shared" si="1"/>
        <v>44112</v>
      </c>
      <c r="DP4" s="56">
        <f t="shared" si="1"/>
        <v>44113</v>
      </c>
      <c r="DQ4" s="56">
        <f t="shared" si="1"/>
        <v>44114</v>
      </c>
      <c r="DR4" s="57">
        <f t="shared" si="1"/>
        <v>44115</v>
      </c>
      <c r="DS4" s="55">
        <f t="shared" si="1"/>
        <v>44116</v>
      </c>
      <c r="DT4" s="56">
        <f t="shared" si="1"/>
        <v>44117</v>
      </c>
      <c r="DU4" s="56">
        <f t="shared" si="1"/>
        <v>44118</v>
      </c>
      <c r="DV4" s="56">
        <f t="shared" si="1"/>
        <v>44119</v>
      </c>
      <c r="DW4" s="56">
        <f t="shared" si="1"/>
        <v>44120</v>
      </c>
      <c r="DX4" s="56">
        <f t="shared" si="1"/>
        <v>44121</v>
      </c>
      <c r="DY4" s="57">
        <f t="shared" si="1"/>
        <v>44122</v>
      </c>
      <c r="DZ4" s="55">
        <f t="shared" si="1"/>
        <v>44123</v>
      </c>
      <c r="EA4" s="56">
        <f t="shared" ref="EA4:GL4" si="2">DZ4+1</f>
        <v>44124</v>
      </c>
      <c r="EB4" s="56">
        <f t="shared" si="2"/>
        <v>44125</v>
      </c>
      <c r="EC4" s="56">
        <f t="shared" si="2"/>
        <v>44126</v>
      </c>
      <c r="ED4" s="56">
        <f t="shared" si="2"/>
        <v>44127</v>
      </c>
      <c r="EE4" s="56">
        <f t="shared" si="2"/>
        <v>44128</v>
      </c>
      <c r="EF4" s="57">
        <f t="shared" si="2"/>
        <v>44129</v>
      </c>
      <c r="EG4" s="55">
        <f t="shared" si="2"/>
        <v>44130</v>
      </c>
      <c r="EH4" s="56">
        <f t="shared" si="2"/>
        <v>44131</v>
      </c>
      <c r="EI4" s="56">
        <f t="shared" si="2"/>
        <v>44132</v>
      </c>
      <c r="EJ4" s="56">
        <f t="shared" si="2"/>
        <v>44133</v>
      </c>
      <c r="EK4" s="56">
        <f t="shared" si="2"/>
        <v>44134</v>
      </c>
      <c r="EL4" s="56">
        <f t="shared" si="2"/>
        <v>44135</v>
      </c>
      <c r="EM4" s="57">
        <f t="shared" si="2"/>
        <v>44136</v>
      </c>
      <c r="EN4" s="55">
        <f t="shared" si="2"/>
        <v>44137</v>
      </c>
      <c r="EO4" s="56">
        <f t="shared" si="2"/>
        <v>44138</v>
      </c>
      <c r="EP4" s="56">
        <f t="shared" si="2"/>
        <v>44139</v>
      </c>
      <c r="EQ4" s="56">
        <f t="shared" si="2"/>
        <v>44140</v>
      </c>
      <c r="ER4" s="56">
        <f t="shared" si="2"/>
        <v>44141</v>
      </c>
      <c r="ES4" s="56">
        <f t="shared" si="2"/>
        <v>44142</v>
      </c>
      <c r="ET4" s="57">
        <f t="shared" si="2"/>
        <v>44143</v>
      </c>
      <c r="EU4" s="55">
        <f t="shared" si="2"/>
        <v>44144</v>
      </c>
      <c r="EV4" s="56">
        <f t="shared" si="2"/>
        <v>44145</v>
      </c>
      <c r="EW4" s="56">
        <f t="shared" si="2"/>
        <v>44146</v>
      </c>
      <c r="EX4" s="56">
        <f t="shared" si="2"/>
        <v>44147</v>
      </c>
      <c r="EY4" s="56">
        <f t="shared" si="2"/>
        <v>44148</v>
      </c>
      <c r="EZ4" s="56">
        <f t="shared" si="2"/>
        <v>44149</v>
      </c>
      <c r="FA4" s="57">
        <f t="shared" si="2"/>
        <v>44150</v>
      </c>
      <c r="FB4" s="55">
        <f t="shared" si="2"/>
        <v>44151</v>
      </c>
      <c r="FC4" s="56">
        <f t="shared" si="2"/>
        <v>44152</v>
      </c>
      <c r="FD4" s="56">
        <f t="shared" si="2"/>
        <v>44153</v>
      </c>
      <c r="FE4" s="56">
        <f t="shared" si="2"/>
        <v>44154</v>
      </c>
      <c r="FF4" s="56">
        <f t="shared" si="2"/>
        <v>44155</v>
      </c>
      <c r="FG4" s="56">
        <f t="shared" si="2"/>
        <v>44156</v>
      </c>
      <c r="FH4" s="57">
        <f t="shared" si="2"/>
        <v>44157</v>
      </c>
      <c r="FI4" s="55">
        <f t="shared" si="2"/>
        <v>44158</v>
      </c>
      <c r="FJ4" s="56">
        <f t="shared" si="2"/>
        <v>44159</v>
      </c>
      <c r="FK4" s="56">
        <f t="shared" si="2"/>
        <v>44160</v>
      </c>
      <c r="FL4" s="56">
        <f t="shared" si="2"/>
        <v>44161</v>
      </c>
      <c r="FM4" s="56">
        <f t="shared" si="2"/>
        <v>44162</v>
      </c>
      <c r="FN4" s="56">
        <f t="shared" si="2"/>
        <v>44163</v>
      </c>
      <c r="FO4" s="57">
        <f t="shared" si="2"/>
        <v>44164</v>
      </c>
      <c r="FP4" s="55">
        <f t="shared" si="2"/>
        <v>44165</v>
      </c>
      <c r="FQ4" s="56">
        <f t="shared" si="2"/>
        <v>44166</v>
      </c>
      <c r="FR4" s="56">
        <f t="shared" si="2"/>
        <v>44167</v>
      </c>
      <c r="FS4" s="56">
        <f t="shared" si="2"/>
        <v>44168</v>
      </c>
      <c r="FT4" s="56">
        <f t="shared" si="2"/>
        <v>44169</v>
      </c>
      <c r="FU4" s="56">
        <f t="shared" si="2"/>
        <v>44170</v>
      </c>
      <c r="FV4" s="57">
        <f t="shared" si="2"/>
        <v>44171</v>
      </c>
      <c r="FW4" s="55">
        <f t="shared" si="2"/>
        <v>44172</v>
      </c>
      <c r="FX4" s="56">
        <f t="shared" si="2"/>
        <v>44173</v>
      </c>
      <c r="FY4" s="56">
        <f t="shared" si="2"/>
        <v>44174</v>
      </c>
      <c r="FZ4" s="56">
        <f t="shared" si="2"/>
        <v>44175</v>
      </c>
      <c r="GA4" s="56">
        <f t="shared" si="2"/>
        <v>44176</v>
      </c>
      <c r="GB4" s="56">
        <f t="shared" si="2"/>
        <v>44177</v>
      </c>
      <c r="GC4" s="57">
        <f t="shared" si="2"/>
        <v>44178</v>
      </c>
      <c r="GD4" s="55">
        <f t="shared" si="2"/>
        <v>44179</v>
      </c>
      <c r="GE4" s="56">
        <f t="shared" si="2"/>
        <v>44180</v>
      </c>
      <c r="GF4" s="56">
        <f t="shared" si="2"/>
        <v>44181</v>
      </c>
      <c r="GG4" s="56">
        <f t="shared" si="2"/>
        <v>44182</v>
      </c>
      <c r="GH4" s="56">
        <f t="shared" si="2"/>
        <v>44183</v>
      </c>
      <c r="GI4" s="56">
        <f t="shared" si="2"/>
        <v>44184</v>
      </c>
      <c r="GJ4" s="57">
        <f t="shared" si="2"/>
        <v>44185</v>
      </c>
      <c r="GK4" s="55">
        <f t="shared" si="2"/>
        <v>44186</v>
      </c>
      <c r="GL4" s="56">
        <f t="shared" si="2"/>
        <v>44187</v>
      </c>
      <c r="GM4" s="56">
        <f t="shared" ref="GM4:IX4" si="3">GL4+1</f>
        <v>44188</v>
      </c>
      <c r="GN4" s="56">
        <f t="shared" si="3"/>
        <v>44189</v>
      </c>
      <c r="GO4" s="56">
        <f t="shared" si="3"/>
        <v>44190</v>
      </c>
      <c r="GP4" s="56">
        <f t="shared" si="3"/>
        <v>44191</v>
      </c>
      <c r="GQ4" s="57">
        <f t="shared" si="3"/>
        <v>44192</v>
      </c>
      <c r="GR4" s="55">
        <f t="shared" si="3"/>
        <v>44193</v>
      </c>
      <c r="GS4" s="56">
        <f t="shared" si="3"/>
        <v>44194</v>
      </c>
      <c r="GT4" s="56">
        <f t="shared" si="3"/>
        <v>44195</v>
      </c>
      <c r="GU4" s="56">
        <f t="shared" si="3"/>
        <v>44196</v>
      </c>
      <c r="GV4" s="56">
        <f t="shared" si="3"/>
        <v>44197</v>
      </c>
      <c r="GW4" s="56">
        <f t="shared" si="3"/>
        <v>44198</v>
      </c>
      <c r="GX4" s="57">
        <f t="shared" si="3"/>
        <v>44199</v>
      </c>
      <c r="GY4" s="55">
        <f t="shared" si="3"/>
        <v>44200</v>
      </c>
      <c r="GZ4" s="56">
        <f t="shared" si="3"/>
        <v>44201</v>
      </c>
      <c r="HA4" s="56">
        <f t="shared" si="3"/>
        <v>44202</v>
      </c>
      <c r="HB4" s="56">
        <f t="shared" si="3"/>
        <v>44203</v>
      </c>
      <c r="HC4" s="56">
        <f t="shared" si="3"/>
        <v>44204</v>
      </c>
      <c r="HD4" s="56">
        <f t="shared" si="3"/>
        <v>44205</v>
      </c>
      <c r="HE4" s="57">
        <f t="shared" si="3"/>
        <v>44206</v>
      </c>
      <c r="HF4" s="55">
        <f t="shared" si="3"/>
        <v>44207</v>
      </c>
      <c r="HG4" s="56">
        <f t="shared" si="3"/>
        <v>44208</v>
      </c>
      <c r="HH4" s="56">
        <f t="shared" si="3"/>
        <v>44209</v>
      </c>
      <c r="HI4" s="56">
        <f t="shared" si="3"/>
        <v>44210</v>
      </c>
      <c r="HJ4" s="56">
        <f t="shared" si="3"/>
        <v>44211</v>
      </c>
      <c r="HK4" s="56">
        <f t="shared" si="3"/>
        <v>44212</v>
      </c>
      <c r="HL4" s="57">
        <f t="shared" si="3"/>
        <v>44213</v>
      </c>
      <c r="HM4" s="55">
        <f t="shared" si="3"/>
        <v>44214</v>
      </c>
      <c r="HN4" s="56">
        <f t="shared" si="3"/>
        <v>44215</v>
      </c>
      <c r="HO4" s="56">
        <f t="shared" si="3"/>
        <v>44216</v>
      </c>
      <c r="HP4" s="56">
        <f t="shared" si="3"/>
        <v>44217</v>
      </c>
      <c r="HQ4" s="56">
        <f t="shared" si="3"/>
        <v>44218</v>
      </c>
      <c r="HR4" s="56">
        <f t="shared" si="3"/>
        <v>44219</v>
      </c>
      <c r="HS4" s="57">
        <f t="shared" si="3"/>
        <v>44220</v>
      </c>
      <c r="HT4" s="55">
        <f t="shared" si="3"/>
        <v>44221</v>
      </c>
      <c r="HU4" s="56">
        <f t="shared" si="3"/>
        <v>44222</v>
      </c>
      <c r="HV4" s="56">
        <f t="shared" si="3"/>
        <v>44223</v>
      </c>
      <c r="HW4" s="56">
        <f t="shared" si="3"/>
        <v>44224</v>
      </c>
      <c r="HX4" s="56">
        <f t="shared" si="3"/>
        <v>44225</v>
      </c>
      <c r="HY4" s="56">
        <f t="shared" si="3"/>
        <v>44226</v>
      </c>
      <c r="HZ4" s="57">
        <f t="shared" si="3"/>
        <v>44227</v>
      </c>
      <c r="IA4" s="55">
        <f t="shared" si="3"/>
        <v>44228</v>
      </c>
      <c r="IB4" s="56">
        <f t="shared" si="3"/>
        <v>44229</v>
      </c>
      <c r="IC4" s="56">
        <f t="shared" si="3"/>
        <v>44230</v>
      </c>
      <c r="ID4" s="56">
        <f t="shared" si="3"/>
        <v>44231</v>
      </c>
      <c r="IE4" s="56">
        <f t="shared" si="3"/>
        <v>44232</v>
      </c>
      <c r="IF4" s="56">
        <f t="shared" si="3"/>
        <v>44233</v>
      </c>
      <c r="IG4" s="57">
        <f t="shared" si="3"/>
        <v>44234</v>
      </c>
      <c r="IH4" s="55">
        <f t="shared" si="3"/>
        <v>44235</v>
      </c>
      <c r="II4" s="56">
        <f t="shared" si="3"/>
        <v>44236</v>
      </c>
      <c r="IJ4" s="56">
        <f t="shared" si="3"/>
        <v>44237</v>
      </c>
      <c r="IK4" s="56">
        <f t="shared" si="3"/>
        <v>44238</v>
      </c>
      <c r="IL4" s="56">
        <f t="shared" si="3"/>
        <v>44239</v>
      </c>
      <c r="IM4" s="56">
        <f t="shared" si="3"/>
        <v>44240</v>
      </c>
      <c r="IN4" s="57">
        <f t="shared" si="3"/>
        <v>44241</v>
      </c>
      <c r="IO4" s="55">
        <f t="shared" si="3"/>
        <v>44242</v>
      </c>
      <c r="IP4" s="56">
        <f t="shared" si="3"/>
        <v>44243</v>
      </c>
      <c r="IQ4" s="56">
        <f t="shared" si="3"/>
        <v>44244</v>
      </c>
      <c r="IR4" s="56">
        <f t="shared" si="3"/>
        <v>44245</v>
      </c>
      <c r="IS4" s="56">
        <f t="shared" si="3"/>
        <v>44246</v>
      </c>
      <c r="IT4" s="56">
        <f t="shared" si="3"/>
        <v>44247</v>
      </c>
      <c r="IU4" s="57">
        <f t="shared" si="3"/>
        <v>44248</v>
      </c>
      <c r="IV4" s="55">
        <f t="shared" si="3"/>
        <v>44249</v>
      </c>
      <c r="IW4" s="56">
        <f t="shared" si="3"/>
        <v>44250</v>
      </c>
      <c r="IX4" s="56">
        <f t="shared" si="3"/>
        <v>44251</v>
      </c>
      <c r="IY4" s="56">
        <f t="shared" ref="IY4:LJ4" si="4">IX4+1</f>
        <v>44252</v>
      </c>
      <c r="IZ4" s="56">
        <f t="shared" si="4"/>
        <v>44253</v>
      </c>
      <c r="JA4" s="56">
        <f t="shared" si="4"/>
        <v>44254</v>
      </c>
      <c r="JB4" s="57">
        <f t="shared" si="4"/>
        <v>44255</v>
      </c>
      <c r="JC4" s="55">
        <f t="shared" si="4"/>
        <v>44256</v>
      </c>
      <c r="JD4" s="56">
        <f t="shared" si="4"/>
        <v>44257</v>
      </c>
      <c r="JE4" s="56">
        <f t="shared" si="4"/>
        <v>44258</v>
      </c>
      <c r="JF4" s="56">
        <f t="shared" si="4"/>
        <v>44259</v>
      </c>
      <c r="JG4" s="56">
        <f t="shared" si="4"/>
        <v>44260</v>
      </c>
      <c r="JH4" s="56">
        <f t="shared" si="4"/>
        <v>44261</v>
      </c>
      <c r="JI4" s="57">
        <f t="shared" si="4"/>
        <v>44262</v>
      </c>
      <c r="JJ4" s="55">
        <f t="shared" si="4"/>
        <v>44263</v>
      </c>
      <c r="JK4" s="56">
        <f t="shared" si="4"/>
        <v>44264</v>
      </c>
      <c r="JL4" s="56">
        <f t="shared" si="4"/>
        <v>44265</v>
      </c>
      <c r="JM4" s="56">
        <f t="shared" si="4"/>
        <v>44266</v>
      </c>
      <c r="JN4" s="56">
        <f t="shared" si="4"/>
        <v>44267</v>
      </c>
      <c r="JO4" s="56">
        <f t="shared" si="4"/>
        <v>44268</v>
      </c>
      <c r="JP4" s="57">
        <f t="shared" si="4"/>
        <v>44269</v>
      </c>
      <c r="JQ4" s="55">
        <f t="shared" si="4"/>
        <v>44270</v>
      </c>
      <c r="JR4" s="56">
        <f t="shared" si="4"/>
        <v>44271</v>
      </c>
      <c r="JS4" s="56">
        <f t="shared" si="4"/>
        <v>44272</v>
      </c>
      <c r="JT4" s="56">
        <f t="shared" si="4"/>
        <v>44273</v>
      </c>
      <c r="JU4" s="56">
        <f t="shared" si="4"/>
        <v>44274</v>
      </c>
      <c r="JV4" s="56">
        <f t="shared" si="4"/>
        <v>44275</v>
      </c>
      <c r="JW4" s="57">
        <f t="shared" si="4"/>
        <v>44276</v>
      </c>
      <c r="JX4" s="55">
        <f t="shared" si="4"/>
        <v>44277</v>
      </c>
      <c r="JY4" s="56">
        <f t="shared" si="4"/>
        <v>44278</v>
      </c>
      <c r="JZ4" s="56">
        <f t="shared" si="4"/>
        <v>44279</v>
      </c>
      <c r="KA4" s="56">
        <f t="shared" si="4"/>
        <v>44280</v>
      </c>
      <c r="KB4" s="56">
        <f t="shared" si="4"/>
        <v>44281</v>
      </c>
      <c r="KC4" s="56">
        <f t="shared" si="4"/>
        <v>44282</v>
      </c>
      <c r="KD4" s="57">
        <f t="shared" si="4"/>
        <v>44283</v>
      </c>
      <c r="KE4" s="55">
        <f t="shared" si="4"/>
        <v>44284</v>
      </c>
      <c r="KF4" s="56">
        <f t="shared" si="4"/>
        <v>44285</v>
      </c>
      <c r="KG4" s="56">
        <f t="shared" si="4"/>
        <v>44286</v>
      </c>
      <c r="KH4" s="56">
        <f t="shared" si="4"/>
        <v>44287</v>
      </c>
      <c r="KI4" s="56">
        <f t="shared" si="4"/>
        <v>44288</v>
      </c>
      <c r="KJ4" s="56">
        <f t="shared" si="4"/>
        <v>44289</v>
      </c>
      <c r="KK4" s="57">
        <f t="shared" si="4"/>
        <v>44290</v>
      </c>
      <c r="KL4" s="55">
        <f t="shared" si="4"/>
        <v>44291</v>
      </c>
      <c r="KM4" s="56">
        <f t="shared" si="4"/>
        <v>44292</v>
      </c>
      <c r="KN4" s="56">
        <f t="shared" si="4"/>
        <v>44293</v>
      </c>
      <c r="KO4" s="56">
        <f t="shared" si="4"/>
        <v>44294</v>
      </c>
      <c r="KP4" s="56">
        <f t="shared" si="4"/>
        <v>44295</v>
      </c>
      <c r="KQ4" s="56">
        <f t="shared" si="4"/>
        <v>44296</v>
      </c>
      <c r="KR4" s="57">
        <f t="shared" si="4"/>
        <v>44297</v>
      </c>
      <c r="KS4" s="55">
        <f t="shared" si="4"/>
        <v>44298</v>
      </c>
      <c r="KT4" s="56">
        <f t="shared" si="4"/>
        <v>44299</v>
      </c>
      <c r="KU4" s="56">
        <f t="shared" si="4"/>
        <v>44300</v>
      </c>
      <c r="KV4" s="56">
        <f t="shared" si="4"/>
        <v>44301</v>
      </c>
      <c r="KW4" s="56">
        <f t="shared" si="4"/>
        <v>44302</v>
      </c>
      <c r="KX4" s="56">
        <f t="shared" si="4"/>
        <v>44303</v>
      </c>
      <c r="KY4" s="57">
        <f t="shared" si="4"/>
        <v>44304</v>
      </c>
      <c r="KZ4" s="55">
        <f t="shared" si="4"/>
        <v>44305</v>
      </c>
      <c r="LA4" s="56">
        <f t="shared" si="4"/>
        <v>44306</v>
      </c>
      <c r="LB4" s="56">
        <f t="shared" si="4"/>
        <v>44307</v>
      </c>
      <c r="LC4" s="56">
        <f t="shared" si="4"/>
        <v>44308</v>
      </c>
      <c r="LD4" s="56">
        <f t="shared" si="4"/>
        <v>44309</v>
      </c>
      <c r="LE4" s="56">
        <f t="shared" si="4"/>
        <v>44310</v>
      </c>
      <c r="LF4" s="57">
        <f t="shared" si="4"/>
        <v>44311</v>
      </c>
      <c r="LG4" s="55">
        <f t="shared" si="4"/>
        <v>44312</v>
      </c>
      <c r="LH4" s="56">
        <f t="shared" si="4"/>
        <v>44313</v>
      </c>
      <c r="LI4" s="56">
        <f t="shared" si="4"/>
        <v>44314</v>
      </c>
      <c r="LJ4" s="56">
        <f t="shared" si="4"/>
        <v>44315</v>
      </c>
      <c r="LK4" s="56">
        <f t="shared" ref="LK4:NV4" si="5">LJ4+1</f>
        <v>44316</v>
      </c>
      <c r="LL4" s="56">
        <f t="shared" si="5"/>
        <v>44317</v>
      </c>
      <c r="LM4" s="57">
        <f t="shared" si="5"/>
        <v>44318</v>
      </c>
      <c r="LN4" s="55">
        <f t="shared" si="5"/>
        <v>44319</v>
      </c>
      <c r="LO4" s="56">
        <f t="shared" si="5"/>
        <v>44320</v>
      </c>
      <c r="LP4" s="56">
        <f t="shared" si="5"/>
        <v>44321</v>
      </c>
      <c r="LQ4" s="56">
        <f t="shared" si="5"/>
        <v>44322</v>
      </c>
      <c r="LR4" s="56">
        <f t="shared" si="5"/>
        <v>44323</v>
      </c>
      <c r="LS4" s="56">
        <f t="shared" si="5"/>
        <v>44324</v>
      </c>
      <c r="LT4" s="57">
        <f t="shared" si="5"/>
        <v>44325</v>
      </c>
      <c r="LU4" s="55">
        <f t="shared" si="5"/>
        <v>44326</v>
      </c>
      <c r="LV4" s="56">
        <f t="shared" si="5"/>
        <v>44327</v>
      </c>
      <c r="LW4" s="56">
        <f t="shared" si="5"/>
        <v>44328</v>
      </c>
      <c r="LX4" s="56">
        <f t="shared" si="5"/>
        <v>44329</v>
      </c>
      <c r="LY4" s="56">
        <f t="shared" si="5"/>
        <v>44330</v>
      </c>
      <c r="LZ4" s="56">
        <f t="shared" si="5"/>
        <v>44331</v>
      </c>
      <c r="MA4" s="57">
        <f t="shared" si="5"/>
        <v>44332</v>
      </c>
      <c r="MB4" s="55">
        <f t="shared" si="5"/>
        <v>44333</v>
      </c>
      <c r="MC4" s="56">
        <f t="shared" si="5"/>
        <v>44334</v>
      </c>
      <c r="MD4" s="56">
        <f t="shared" si="5"/>
        <v>44335</v>
      </c>
      <c r="ME4" s="56">
        <f t="shared" si="5"/>
        <v>44336</v>
      </c>
      <c r="MF4" s="56">
        <f t="shared" si="5"/>
        <v>44337</v>
      </c>
      <c r="MG4" s="56">
        <f t="shared" si="5"/>
        <v>44338</v>
      </c>
      <c r="MH4" s="57">
        <f t="shared" si="5"/>
        <v>44339</v>
      </c>
      <c r="MI4" s="55">
        <f t="shared" si="5"/>
        <v>44340</v>
      </c>
      <c r="MJ4" s="56">
        <f t="shared" si="5"/>
        <v>44341</v>
      </c>
      <c r="MK4" s="56">
        <f t="shared" si="5"/>
        <v>44342</v>
      </c>
      <c r="ML4" s="56">
        <f t="shared" si="5"/>
        <v>44343</v>
      </c>
      <c r="MM4" s="56">
        <f t="shared" si="5"/>
        <v>44344</v>
      </c>
      <c r="MN4" s="56">
        <f t="shared" si="5"/>
        <v>44345</v>
      </c>
      <c r="MO4" s="57">
        <f t="shared" si="5"/>
        <v>44346</v>
      </c>
      <c r="MP4" s="55">
        <f t="shared" si="5"/>
        <v>44347</v>
      </c>
      <c r="MQ4" s="56">
        <f t="shared" si="5"/>
        <v>44348</v>
      </c>
      <c r="MR4" s="56">
        <f t="shared" si="5"/>
        <v>44349</v>
      </c>
      <c r="MS4" s="56">
        <f t="shared" si="5"/>
        <v>44350</v>
      </c>
      <c r="MT4" s="56">
        <f t="shared" si="5"/>
        <v>44351</v>
      </c>
      <c r="MU4" s="56">
        <f t="shared" si="5"/>
        <v>44352</v>
      </c>
      <c r="MV4" s="57">
        <f t="shared" si="5"/>
        <v>44353</v>
      </c>
      <c r="MW4" s="55">
        <f t="shared" si="5"/>
        <v>44354</v>
      </c>
      <c r="MX4" s="56">
        <f t="shared" si="5"/>
        <v>44355</v>
      </c>
      <c r="MY4" s="56">
        <f t="shared" si="5"/>
        <v>44356</v>
      </c>
      <c r="MZ4" s="56">
        <f t="shared" si="5"/>
        <v>44357</v>
      </c>
      <c r="NA4" s="56">
        <f t="shared" si="5"/>
        <v>44358</v>
      </c>
      <c r="NB4" s="56">
        <f t="shared" si="5"/>
        <v>44359</v>
      </c>
      <c r="NC4" s="57">
        <f t="shared" si="5"/>
        <v>44360</v>
      </c>
      <c r="ND4" s="55">
        <f t="shared" si="5"/>
        <v>44361</v>
      </c>
      <c r="NE4" s="56">
        <f t="shared" si="5"/>
        <v>44362</v>
      </c>
      <c r="NF4" s="56">
        <f t="shared" si="5"/>
        <v>44363</v>
      </c>
      <c r="NG4" s="56">
        <f t="shared" si="5"/>
        <v>44364</v>
      </c>
      <c r="NH4" s="56">
        <f t="shared" si="5"/>
        <v>44365</v>
      </c>
      <c r="NI4" s="56">
        <f t="shared" si="5"/>
        <v>44366</v>
      </c>
      <c r="NJ4" s="57">
        <f t="shared" si="5"/>
        <v>44367</v>
      </c>
      <c r="NK4" s="55">
        <f t="shared" si="5"/>
        <v>44368</v>
      </c>
      <c r="NL4" s="56">
        <f t="shared" si="5"/>
        <v>44369</v>
      </c>
      <c r="NM4" s="56">
        <f t="shared" si="5"/>
        <v>44370</v>
      </c>
      <c r="NN4" s="56">
        <f t="shared" si="5"/>
        <v>44371</v>
      </c>
      <c r="NO4" s="56">
        <f t="shared" si="5"/>
        <v>44372</v>
      </c>
      <c r="NP4" s="56">
        <f t="shared" si="5"/>
        <v>44373</v>
      </c>
      <c r="NQ4" s="57">
        <f t="shared" si="5"/>
        <v>44374</v>
      </c>
      <c r="NR4" s="55">
        <f t="shared" si="5"/>
        <v>44375</v>
      </c>
      <c r="NS4" s="56">
        <f t="shared" si="5"/>
        <v>44376</v>
      </c>
      <c r="NT4" s="56">
        <f t="shared" si="5"/>
        <v>44377</v>
      </c>
      <c r="NU4" s="56">
        <f t="shared" si="5"/>
        <v>44378</v>
      </c>
      <c r="NV4" s="56">
        <f t="shared" si="5"/>
        <v>44379</v>
      </c>
      <c r="NW4" s="56">
        <f t="shared" ref="NW4:QH4" si="6">NV4+1</f>
        <v>44380</v>
      </c>
      <c r="NX4" s="57">
        <f t="shared" si="6"/>
        <v>44381</v>
      </c>
      <c r="NY4" s="55">
        <f t="shared" si="6"/>
        <v>44382</v>
      </c>
      <c r="NZ4" s="56">
        <f t="shared" si="6"/>
        <v>44383</v>
      </c>
      <c r="OA4" s="56">
        <f t="shared" si="6"/>
        <v>44384</v>
      </c>
      <c r="OB4" s="56">
        <f t="shared" si="6"/>
        <v>44385</v>
      </c>
      <c r="OC4" s="56">
        <f t="shared" si="6"/>
        <v>44386</v>
      </c>
      <c r="OD4" s="56">
        <f t="shared" si="6"/>
        <v>44387</v>
      </c>
      <c r="OE4" s="57">
        <f t="shared" si="6"/>
        <v>44388</v>
      </c>
      <c r="OF4" s="55">
        <f t="shared" si="6"/>
        <v>44389</v>
      </c>
      <c r="OG4" s="56">
        <f t="shared" si="6"/>
        <v>44390</v>
      </c>
      <c r="OH4" s="56">
        <f t="shared" si="6"/>
        <v>44391</v>
      </c>
      <c r="OI4" s="56">
        <f t="shared" si="6"/>
        <v>44392</v>
      </c>
      <c r="OJ4" s="56">
        <f t="shared" si="6"/>
        <v>44393</v>
      </c>
      <c r="OK4" s="56">
        <f t="shared" si="6"/>
        <v>44394</v>
      </c>
      <c r="OL4" s="57">
        <f t="shared" si="6"/>
        <v>44395</v>
      </c>
      <c r="OM4" s="55">
        <f t="shared" si="6"/>
        <v>44396</v>
      </c>
      <c r="ON4" s="56">
        <f t="shared" si="6"/>
        <v>44397</v>
      </c>
      <c r="OO4" s="56">
        <f t="shared" si="6"/>
        <v>44398</v>
      </c>
      <c r="OP4" s="56">
        <f t="shared" si="6"/>
        <v>44399</v>
      </c>
      <c r="OQ4" s="56">
        <f t="shared" si="6"/>
        <v>44400</v>
      </c>
      <c r="OR4" s="56">
        <f t="shared" si="6"/>
        <v>44401</v>
      </c>
      <c r="OS4" s="57">
        <f t="shared" si="6"/>
        <v>44402</v>
      </c>
      <c r="OT4" s="55">
        <f t="shared" si="6"/>
        <v>44403</v>
      </c>
      <c r="OU4" s="56">
        <f t="shared" si="6"/>
        <v>44404</v>
      </c>
      <c r="OV4" s="56">
        <f t="shared" si="6"/>
        <v>44405</v>
      </c>
      <c r="OW4" s="56">
        <f t="shared" si="6"/>
        <v>44406</v>
      </c>
      <c r="OX4" s="56">
        <f t="shared" si="6"/>
        <v>44407</v>
      </c>
      <c r="OY4" s="56">
        <f t="shared" si="6"/>
        <v>44408</v>
      </c>
      <c r="OZ4" s="57">
        <f t="shared" si="6"/>
        <v>44409</v>
      </c>
      <c r="PA4" s="55">
        <f t="shared" si="6"/>
        <v>44410</v>
      </c>
      <c r="PB4" s="56">
        <f t="shared" si="6"/>
        <v>44411</v>
      </c>
      <c r="PC4" s="56">
        <f t="shared" si="6"/>
        <v>44412</v>
      </c>
      <c r="PD4" s="56">
        <f t="shared" si="6"/>
        <v>44413</v>
      </c>
      <c r="PE4" s="56">
        <f t="shared" si="6"/>
        <v>44414</v>
      </c>
      <c r="PF4" s="56">
        <f t="shared" si="6"/>
        <v>44415</v>
      </c>
      <c r="PG4" s="57">
        <f t="shared" si="6"/>
        <v>44416</v>
      </c>
      <c r="PH4" s="55">
        <f t="shared" si="6"/>
        <v>44417</v>
      </c>
      <c r="PI4" s="56">
        <f t="shared" si="6"/>
        <v>44418</v>
      </c>
      <c r="PJ4" s="56">
        <f t="shared" si="6"/>
        <v>44419</v>
      </c>
      <c r="PK4" s="56">
        <f t="shared" si="6"/>
        <v>44420</v>
      </c>
      <c r="PL4" s="56">
        <f t="shared" si="6"/>
        <v>44421</v>
      </c>
      <c r="PM4" s="56">
        <f t="shared" si="6"/>
        <v>44422</v>
      </c>
      <c r="PN4" s="57">
        <f t="shared" si="6"/>
        <v>44423</v>
      </c>
      <c r="PO4" s="55">
        <f t="shared" si="6"/>
        <v>44424</v>
      </c>
      <c r="PP4" s="56">
        <f t="shared" si="6"/>
        <v>44425</v>
      </c>
      <c r="PQ4" s="56">
        <f t="shared" si="6"/>
        <v>44426</v>
      </c>
      <c r="PR4" s="56">
        <f t="shared" si="6"/>
        <v>44427</v>
      </c>
      <c r="PS4" s="56">
        <f t="shared" si="6"/>
        <v>44428</v>
      </c>
      <c r="PT4" s="56">
        <f t="shared" si="6"/>
        <v>44429</v>
      </c>
      <c r="PU4" s="57">
        <f t="shared" si="6"/>
        <v>44430</v>
      </c>
      <c r="PV4" s="55">
        <f t="shared" si="6"/>
        <v>44431</v>
      </c>
      <c r="PW4" s="56">
        <f t="shared" si="6"/>
        <v>44432</v>
      </c>
      <c r="PX4" s="56">
        <f t="shared" si="6"/>
        <v>44433</v>
      </c>
      <c r="PY4" s="56">
        <f t="shared" si="6"/>
        <v>44434</v>
      </c>
      <c r="PZ4" s="56">
        <f t="shared" si="6"/>
        <v>44435</v>
      </c>
      <c r="QA4" s="56">
        <f t="shared" si="6"/>
        <v>44436</v>
      </c>
      <c r="QB4" s="57">
        <f t="shared" si="6"/>
        <v>44437</v>
      </c>
      <c r="QC4" s="55">
        <f t="shared" si="6"/>
        <v>44438</v>
      </c>
      <c r="QD4" s="56">
        <f t="shared" si="6"/>
        <v>44439</v>
      </c>
      <c r="QE4" s="56">
        <f t="shared" si="6"/>
        <v>44440</v>
      </c>
      <c r="QF4" s="56">
        <f t="shared" si="6"/>
        <v>44441</v>
      </c>
      <c r="QG4" s="56">
        <f t="shared" si="6"/>
        <v>44442</v>
      </c>
      <c r="QH4" s="56">
        <f t="shared" si="6"/>
        <v>44443</v>
      </c>
      <c r="QI4" s="57">
        <f t="shared" ref="QI4:ST4" si="7">QH4+1</f>
        <v>44444</v>
      </c>
      <c r="QJ4" s="55">
        <f t="shared" si="7"/>
        <v>44445</v>
      </c>
      <c r="QK4" s="56">
        <f t="shared" si="7"/>
        <v>44446</v>
      </c>
      <c r="QL4" s="56">
        <f t="shared" si="7"/>
        <v>44447</v>
      </c>
      <c r="QM4" s="56">
        <f t="shared" si="7"/>
        <v>44448</v>
      </c>
      <c r="QN4" s="56">
        <f t="shared" si="7"/>
        <v>44449</v>
      </c>
      <c r="QO4" s="56">
        <f t="shared" si="7"/>
        <v>44450</v>
      </c>
      <c r="QP4" s="57">
        <f t="shared" si="7"/>
        <v>44451</v>
      </c>
      <c r="QQ4" s="55">
        <f t="shared" si="7"/>
        <v>44452</v>
      </c>
      <c r="QR4" s="56">
        <f t="shared" si="7"/>
        <v>44453</v>
      </c>
      <c r="QS4" s="56">
        <f t="shared" si="7"/>
        <v>44454</v>
      </c>
      <c r="QT4" s="56">
        <f t="shared" si="7"/>
        <v>44455</v>
      </c>
      <c r="QU4" s="56">
        <f t="shared" si="7"/>
        <v>44456</v>
      </c>
      <c r="QV4" s="56">
        <f t="shared" si="7"/>
        <v>44457</v>
      </c>
      <c r="QW4" s="57">
        <f t="shared" si="7"/>
        <v>44458</v>
      </c>
      <c r="QX4" s="55">
        <f t="shared" si="7"/>
        <v>44459</v>
      </c>
      <c r="QY4" s="56">
        <f t="shared" si="7"/>
        <v>44460</v>
      </c>
      <c r="QZ4" s="56">
        <f t="shared" si="7"/>
        <v>44461</v>
      </c>
      <c r="RA4" s="56">
        <f t="shared" si="7"/>
        <v>44462</v>
      </c>
      <c r="RB4" s="56">
        <f t="shared" si="7"/>
        <v>44463</v>
      </c>
      <c r="RC4" s="56">
        <f t="shared" si="7"/>
        <v>44464</v>
      </c>
      <c r="RD4" s="57">
        <f t="shared" si="7"/>
        <v>44465</v>
      </c>
      <c r="RE4" s="55">
        <f t="shared" si="7"/>
        <v>44466</v>
      </c>
      <c r="RF4" s="56">
        <f t="shared" si="7"/>
        <v>44467</v>
      </c>
      <c r="RG4" s="56">
        <f t="shared" si="7"/>
        <v>44468</v>
      </c>
      <c r="RH4" s="56">
        <f t="shared" si="7"/>
        <v>44469</v>
      </c>
      <c r="RI4" s="56">
        <f t="shared" si="7"/>
        <v>44470</v>
      </c>
      <c r="RJ4" s="56">
        <f t="shared" si="7"/>
        <v>44471</v>
      </c>
      <c r="RK4" s="57">
        <f t="shared" si="7"/>
        <v>44472</v>
      </c>
      <c r="RL4" s="55">
        <f t="shared" si="7"/>
        <v>44473</v>
      </c>
      <c r="RM4" s="56">
        <f t="shared" si="7"/>
        <v>44474</v>
      </c>
      <c r="RN4" s="56">
        <f t="shared" si="7"/>
        <v>44475</v>
      </c>
      <c r="RO4" s="56">
        <f t="shared" si="7"/>
        <v>44476</v>
      </c>
      <c r="RP4" s="56">
        <f t="shared" si="7"/>
        <v>44477</v>
      </c>
      <c r="RQ4" s="56">
        <f t="shared" si="7"/>
        <v>44478</v>
      </c>
      <c r="RR4" s="57">
        <f t="shared" si="7"/>
        <v>44479</v>
      </c>
      <c r="RS4" s="55">
        <f t="shared" si="7"/>
        <v>44480</v>
      </c>
      <c r="RT4" s="56">
        <f t="shared" si="7"/>
        <v>44481</v>
      </c>
      <c r="RU4" s="56">
        <f t="shared" si="7"/>
        <v>44482</v>
      </c>
      <c r="RV4" s="56">
        <f t="shared" si="7"/>
        <v>44483</v>
      </c>
      <c r="RW4" s="56">
        <f t="shared" si="7"/>
        <v>44484</v>
      </c>
      <c r="RX4" s="56">
        <f t="shared" si="7"/>
        <v>44485</v>
      </c>
      <c r="RY4" s="57">
        <f t="shared" si="7"/>
        <v>44486</v>
      </c>
      <c r="RZ4" s="55">
        <f t="shared" si="7"/>
        <v>44487</v>
      </c>
      <c r="SA4" s="56">
        <f t="shared" si="7"/>
        <v>44488</v>
      </c>
      <c r="SB4" s="56">
        <f t="shared" si="7"/>
        <v>44489</v>
      </c>
      <c r="SC4" s="56">
        <f t="shared" si="7"/>
        <v>44490</v>
      </c>
      <c r="SD4" s="56">
        <f t="shared" si="7"/>
        <v>44491</v>
      </c>
      <c r="SE4" s="56">
        <f t="shared" si="7"/>
        <v>44492</v>
      </c>
      <c r="SF4" s="57">
        <f t="shared" si="7"/>
        <v>44493</v>
      </c>
      <c r="SG4" s="55">
        <f t="shared" si="7"/>
        <v>44494</v>
      </c>
      <c r="SH4" s="56">
        <f t="shared" si="7"/>
        <v>44495</v>
      </c>
      <c r="SI4" s="56">
        <f t="shared" si="7"/>
        <v>44496</v>
      </c>
      <c r="SJ4" s="56">
        <f t="shared" si="7"/>
        <v>44497</v>
      </c>
      <c r="SK4" s="56">
        <f t="shared" si="7"/>
        <v>44498</v>
      </c>
      <c r="SL4" s="56">
        <f t="shared" si="7"/>
        <v>44499</v>
      </c>
      <c r="SM4" s="57">
        <f t="shared" si="7"/>
        <v>44500</v>
      </c>
      <c r="SN4" s="55">
        <f t="shared" si="7"/>
        <v>44501</v>
      </c>
      <c r="SO4" s="56">
        <f t="shared" si="7"/>
        <v>44502</v>
      </c>
      <c r="SP4" s="56">
        <f t="shared" si="7"/>
        <v>44503</v>
      </c>
      <c r="SQ4" s="56">
        <f t="shared" si="7"/>
        <v>44504</v>
      </c>
      <c r="SR4" s="56">
        <f t="shared" si="7"/>
        <v>44505</v>
      </c>
      <c r="SS4" s="56">
        <f t="shared" si="7"/>
        <v>44506</v>
      </c>
      <c r="ST4" s="57">
        <f t="shared" si="7"/>
        <v>44507</v>
      </c>
      <c r="SU4" s="55">
        <f t="shared" ref="SU4:VF4" si="8">ST4+1</f>
        <v>44508</v>
      </c>
      <c r="SV4" s="56">
        <f t="shared" si="8"/>
        <v>44509</v>
      </c>
      <c r="SW4" s="56">
        <f t="shared" si="8"/>
        <v>44510</v>
      </c>
      <c r="SX4" s="56">
        <f t="shared" si="8"/>
        <v>44511</v>
      </c>
      <c r="SY4" s="56">
        <f t="shared" si="8"/>
        <v>44512</v>
      </c>
      <c r="SZ4" s="56">
        <f t="shared" si="8"/>
        <v>44513</v>
      </c>
      <c r="TA4" s="57">
        <f t="shared" si="8"/>
        <v>44514</v>
      </c>
      <c r="TB4" s="55">
        <f t="shared" si="8"/>
        <v>44515</v>
      </c>
      <c r="TC4" s="56">
        <f t="shared" si="8"/>
        <v>44516</v>
      </c>
      <c r="TD4" s="56">
        <f t="shared" si="8"/>
        <v>44517</v>
      </c>
      <c r="TE4" s="56">
        <f t="shared" si="8"/>
        <v>44518</v>
      </c>
      <c r="TF4" s="56">
        <f t="shared" si="8"/>
        <v>44519</v>
      </c>
      <c r="TG4" s="56">
        <f t="shared" si="8"/>
        <v>44520</v>
      </c>
      <c r="TH4" s="57">
        <f t="shared" si="8"/>
        <v>44521</v>
      </c>
      <c r="TI4" s="55">
        <f t="shared" si="8"/>
        <v>44522</v>
      </c>
      <c r="TJ4" s="56">
        <f t="shared" si="8"/>
        <v>44523</v>
      </c>
      <c r="TK4" s="56">
        <f t="shared" si="8"/>
        <v>44524</v>
      </c>
      <c r="TL4" s="56">
        <f t="shared" si="8"/>
        <v>44525</v>
      </c>
      <c r="TM4" s="56">
        <f t="shared" si="8"/>
        <v>44526</v>
      </c>
      <c r="TN4" s="56">
        <f t="shared" si="8"/>
        <v>44527</v>
      </c>
      <c r="TO4" s="57">
        <f t="shared" si="8"/>
        <v>44528</v>
      </c>
      <c r="TP4" s="55">
        <f t="shared" si="8"/>
        <v>44529</v>
      </c>
      <c r="TQ4" s="56">
        <f t="shared" si="8"/>
        <v>44530</v>
      </c>
      <c r="TR4" s="56">
        <f t="shared" si="8"/>
        <v>44531</v>
      </c>
      <c r="TS4" s="56">
        <f t="shared" si="8"/>
        <v>44532</v>
      </c>
      <c r="TT4" s="56">
        <f t="shared" si="8"/>
        <v>44533</v>
      </c>
      <c r="TU4" s="56">
        <f t="shared" si="8"/>
        <v>44534</v>
      </c>
      <c r="TV4" s="57">
        <f t="shared" si="8"/>
        <v>44535</v>
      </c>
      <c r="TW4" s="55">
        <f t="shared" si="8"/>
        <v>44536</v>
      </c>
      <c r="TX4" s="56">
        <f t="shared" si="8"/>
        <v>44537</v>
      </c>
      <c r="TY4" s="56">
        <f t="shared" si="8"/>
        <v>44538</v>
      </c>
      <c r="TZ4" s="56">
        <f t="shared" si="8"/>
        <v>44539</v>
      </c>
      <c r="UA4" s="56">
        <f t="shared" si="8"/>
        <v>44540</v>
      </c>
      <c r="UB4" s="56">
        <f t="shared" si="8"/>
        <v>44541</v>
      </c>
      <c r="UC4" s="57">
        <f t="shared" si="8"/>
        <v>44542</v>
      </c>
      <c r="UD4" s="55">
        <f t="shared" si="8"/>
        <v>44543</v>
      </c>
      <c r="UE4" s="56">
        <f t="shared" si="8"/>
        <v>44544</v>
      </c>
      <c r="UF4" s="56">
        <f t="shared" si="8"/>
        <v>44545</v>
      </c>
      <c r="UG4" s="56">
        <f t="shared" si="8"/>
        <v>44546</v>
      </c>
      <c r="UH4" s="56">
        <f t="shared" si="8"/>
        <v>44547</v>
      </c>
      <c r="UI4" s="56">
        <f t="shared" si="8"/>
        <v>44548</v>
      </c>
      <c r="UJ4" s="57">
        <f t="shared" si="8"/>
        <v>44549</v>
      </c>
      <c r="UK4" s="55">
        <f t="shared" si="8"/>
        <v>44550</v>
      </c>
      <c r="UL4" s="56">
        <f t="shared" si="8"/>
        <v>44551</v>
      </c>
      <c r="UM4" s="56">
        <f t="shared" si="8"/>
        <v>44552</v>
      </c>
      <c r="UN4" s="56">
        <f t="shared" si="8"/>
        <v>44553</v>
      </c>
      <c r="UO4" s="56">
        <f t="shared" si="8"/>
        <v>44554</v>
      </c>
      <c r="UP4" s="56">
        <f t="shared" si="8"/>
        <v>44555</v>
      </c>
      <c r="UQ4" s="57">
        <f t="shared" si="8"/>
        <v>44556</v>
      </c>
      <c r="UR4" s="55">
        <f t="shared" si="8"/>
        <v>44557</v>
      </c>
      <c r="US4" s="56">
        <f t="shared" si="8"/>
        <v>44558</v>
      </c>
      <c r="UT4" s="56">
        <f t="shared" si="8"/>
        <v>44559</v>
      </c>
      <c r="UU4" s="56">
        <f t="shared" si="8"/>
        <v>44560</v>
      </c>
      <c r="UV4" s="56">
        <f t="shared" si="8"/>
        <v>44561</v>
      </c>
      <c r="UW4" s="56">
        <f t="shared" si="8"/>
        <v>44562</v>
      </c>
      <c r="UX4" s="57">
        <f t="shared" si="8"/>
        <v>44563</v>
      </c>
      <c r="UY4" s="55">
        <f t="shared" si="8"/>
        <v>44564</v>
      </c>
      <c r="UZ4" s="56">
        <f t="shared" si="8"/>
        <v>44565</v>
      </c>
      <c r="VA4" s="56">
        <f t="shared" si="8"/>
        <v>44566</v>
      </c>
      <c r="VB4" s="56">
        <f t="shared" si="8"/>
        <v>44567</v>
      </c>
      <c r="VC4" s="56">
        <f t="shared" si="8"/>
        <v>44568</v>
      </c>
      <c r="VD4" s="56">
        <f t="shared" si="8"/>
        <v>44569</v>
      </c>
      <c r="VE4" s="57">
        <f t="shared" si="8"/>
        <v>44570</v>
      </c>
      <c r="VF4" s="55">
        <f t="shared" si="8"/>
        <v>44571</v>
      </c>
      <c r="VG4" s="56">
        <f t="shared" ref="VG4:XR4" si="9">VF4+1</f>
        <v>44572</v>
      </c>
      <c r="VH4" s="56">
        <f t="shared" si="9"/>
        <v>44573</v>
      </c>
      <c r="VI4" s="56">
        <f t="shared" si="9"/>
        <v>44574</v>
      </c>
      <c r="VJ4" s="56">
        <f t="shared" si="9"/>
        <v>44575</v>
      </c>
      <c r="VK4" s="56">
        <f t="shared" si="9"/>
        <v>44576</v>
      </c>
      <c r="VL4" s="57">
        <f t="shared" si="9"/>
        <v>44577</v>
      </c>
      <c r="VM4" s="55">
        <f t="shared" si="9"/>
        <v>44578</v>
      </c>
      <c r="VN4" s="56">
        <f t="shared" si="9"/>
        <v>44579</v>
      </c>
      <c r="VO4" s="56">
        <f t="shared" si="9"/>
        <v>44580</v>
      </c>
      <c r="VP4" s="56">
        <f t="shared" si="9"/>
        <v>44581</v>
      </c>
      <c r="VQ4" s="56">
        <f t="shared" si="9"/>
        <v>44582</v>
      </c>
      <c r="VR4" s="56">
        <f t="shared" si="9"/>
        <v>44583</v>
      </c>
      <c r="VS4" s="57">
        <f t="shared" si="9"/>
        <v>44584</v>
      </c>
      <c r="VT4" s="55">
        <f t="shared" si="9"/>
        <v>44585</v>
      </c>
      <c r="VU4" s="56">
        <f t="shared" si="9"/>
        <v>44586</v>
      </c>
      <c r="VV4" s="56">
        <f t="shared" si="9"/>
        <v>44587</v>
      </c>
      <c r="VW4" s="56">
        <f t="shared" si="9"/>
        <v>44588</v>
      </c>
      <c r="VX4" s="56">
        <f t="shared" si="9"/>
        <v>44589</v>
      </c>
      <c r="VY4" s="56">
        <f t="shared" si="9"/>
        <v>44590</v>
      </c>
      <c r="VZ4" s="57">
        <f t="shared" si="9"/>
        <v>44591</v>
      </c>
      <c r="WA4" s="55">
        <f t="shared" si="9"/>
        <v>44592</v>
      </c>
      <c r="WB4" s="56">
        <f t="shared" si="9"/>
        <v>44593</v>
      </c>
      <c r="WC4" s="56">
        <f t="shared" si="9"/>
        <v>44594</v>
      </c>
      <c r="WD4" s="56">
        <f t="shared" si="9"/>
        <v>44595</v>
      </c>
      <c r="WE4" s="56">
        <f t="shared" si="9"/>
        <v>44596</v>
      </c>
      <c r="WF4" s="56">
        <f t="shared" si="9"/>
        <v>44597</v>
      </c>
      <c r="WG4" s="57">
        <f t="shared" si="9"/>
        <v>44598</v>
      </c>
      <c r="WH4" s="55">
        <f t="shared" si="9"/>
        <v>44599</v>
      </c>
      <c r="WI4" s="56">
        <f t="shared" si="9"/>
        <v>44600</v>
      </c>
      <c r="WJ4" s="56">
        <f t="shared" si="9"/>
        <v>44601</v>
      </c>
      <c r="WK4" s="56">
        <f t="shared" si="9"/>
        <v>44602</v>
      </c>
      <c r="WL4" s="56">
        <f t="shared" si="9"/>
        <v>44603</v>
      </c>
      <c r="WM4" s="56">
        <f t="shared" si="9"/>
        <v>44604</v>
      </c>
      <c r="WN4" s="57">
        <f t="shared" si="9"/>
        <v>44605</v>
      </c>
      <c r="WO4" s="55">
        <f t="shared" si="9"/>
        <v>44606</v>
      </c>
      <c r="WP4" s="56">
        <f t="shared" si="9"/>
        <v>44607</v>
      </c>
      <c r="WQ4" s="56">
        <f t="shared" si="9"/>
        <v>44608</v>
      </c>
      <c r="WR4" s="56">
        <f t="shared" si="9"/>
        <v>44609</v>
      </c>
      <c r="WS4" s="56">
        <f t="shared" si="9"/>
        <v>44610</v>
      </c>
      <c r="WT4" s="56">
        <f t="shared" si="9"/>
        <v>44611</v>
      </c>
      <c r="WU4" s="57">
        <f t="shared" si="9"/>
        <v>44612</v>
      </c>
      <c r="WV4" s="55">
        <f t="shared" si="9"/>
        <v>44613</v>
      </c>
      <c r="WW4" s="56">
        <f t="shared" si="9"/>
        <v>44614</v>
      </c>
      <c r="WX4" s="56">
        <f t="shared" si="9"/>
        <v>44615</v>
      </c>
      <c r="WY4" s="56">
        <f t="shared" si="9"/>
        <v>44616</v>
      </c>
      <c r="WZ4" s="56">
        <f t="shared" si="9"/>
        <v>44617</v>
      </c>
      <c r="XA4" s="56">
        <f t="shared" si="9"/>
        <v>44618</v>
      </c>
      <c r="XB4" s="57">
        <f t="shared" si="9"/>
        <v>44619</v>
      </c>
      <c r="XC4" s="55">
        <f t="shared" si="9"/>
        <v>44620</v>
      </c>
      <c r="XD4" s="56">
        <f t="shared" si="9"/>
        <v>44621</v>
      </c>
      <c r="XE4" s="56">
        <f t="shared" si="9"/>
        <v>44622</v>
      </c>
      <c r="XF4" s="56">
        <f t="shared" si="9"/>
        <v>44623</v>
      </c>
      <c r="XG4" s="56">
        <f t="shared" si="9"/>
        <v>44624</v>
      </c>
      <c r="XH4" s="56">
        <f t="shared" si="9"/>
        <v>44625</v>
      </c>
      <c r="XI4" s="57">
        <f t="shared" si="9"/>
        <v>44626</v>
      </c>
      <c r="XJ4" s="55">
        <f t="shared" si="9"/>
        <v>44627</v>
      </c>
      <c r="XK4" s="56">
        <f t="shared" si="9"/>
        <v>44628</v>
      </c>
      <c r="XL4" s="56">
        <f t="shared" si="9"/>
        <v>44629</v>
      </c>
      <c r="XM4" s="56">
        <f t="shared" si="9"/>
        <v>44630</v>
      </c>
      <c r="XN4" s="56">
        <f t="shared" si="9"/>
        <v>44631</v>
      </c>
      <c r="XO4" s="56">
        <f t="shared" si="9"/>
        <v>44632</v>
      </c>
      <c r="XP4" s="57">
        <f t="shared" si="9"/>
        <v>44633</v>
      </c>
      <c r="XQ4" s="55">
        <f t="shared" si="9"/>
        <v>44634</v>
      </c>
      <c r="XR4" s="56">
        <f t="shared" si="9"/>
        <v>44635</v>
      </c>
      <c r="XS4" s="56">
        <f t="shared" ref="XS4:AAD4" si="10">XR4+1</f>
        <v>44636</v>
      </c>
      <c r="XT4" s="56">
        <f t="shared" si="10"/>
        <v>44637</v>
      </c>
      <c r="XU4" s="56">
        <f t="shared" si="10"/>
        <v>44638</v>
      </c>
      <c r="XV4" s="56">
        <f t="shared" si="10"/>
        <v>44639</v>
      </c>
      <c r="XW4" s="57">
        <f t="shared" si="10"/>
        <v>44640</v>
      </c>
      <c r="XX4" s="55">
        <f t="shared" si="10"/>
        <v>44641</v>
      </c>
      <c r="XY4" s="56">
        <f t="shared" si="10"/>
        <v>44642</v>
      </c>
      <c r="XZ4" s="56">
        <f t="shared" si="10"/>
        <v>44643</v>
      </c>
      <c r="YA4" s="56">
        <f t="shared" si="10"/>
        <v>44644</v>
      </c>
      <c r="YB4" s="56">
        <f t="shared" si="10"/>
        <v>44645</v>
      </c>
      <c r="YC4" s="56">
        <f t="shared" si="10"/>
        <v>44646</v>
      </c>
      <c r="YD4" s="57">
        <f t="shared" si="10"/>
        <v>44647</v>
      </c>
      <c r="YE4" s="55">
        <f t="shared" si="10"/>
        <v>44648</v>
      </c>
      <c r="YF4" s="56">
        <f t="shared" si="10"/>
        <v>44649</v>
      </c>
      <c r="YG4" s="56">
        <f t="shared" si="10"/>
        <v>44650</v>
      </c>
      <c r="YH4" s="56">
        <f t="shared" si="10"/>
        <v>44651</v>
      </c>
      <c r="YI4" s="56">
        <f t="shared" si="10"/>
        <v>44652</v>
      </c>
      <c r="YJ4" s="56">
        <f t="shared" si="10"/>
        <v>44653</v>
      </c>
      <c r="YK4" s="57">
        <f t="shared" si="10"/>
        <v>44654</v>
      </c>
      <c r="YL4" s="55">
        <f t="shared" si="10"/>
        <v>44655</v>
      </c>
      <c r="YM4" s="56">
        <f t="shared" si="10"/>
        <v>44656</v>
      </c>
      <c r="YN4" s="56">
        <f t="shared" si="10"/>
        <v>44657</v>
      </c>
      <c r="YO4" s="56">
        <f t="shared" si="10"/>
        <v>44658</v>
      </c>
      <c r="YP4" s="56">
        <f t="shared" si="10"/>
        <v>44659</v>
      </c>
      <c r="YQ4" s="56">
        <f t="shared" si="10"/>
        <v>44660</v>
      </c>
      <c r="YR4" s="57">
        <f t="shared" si="10"/>
        <v>44661</v>
      </c>
      <c r="YS4" s="55">
        <f t="shared" si="10"/>
        <v>44662</v>
      </c>
      <c r="YT4" s="56">
        <f t="shared" si="10"/>
        <v>44663</v>
      </c>
      <c r="YU4" s="56">
        <f t="shared" si="10"/>
        <v>44664</v>
      </c>
      <c r="YV4" s="56">
        <f t="shared" si="10"/>
        <v>44665</v>
      </c>
      <c r="YW4" s="56">
        <f t="shared" si="10"/>
        <v>44666</v>
      </c>
      <c r="YX4" s="56">
        <f t="shared" si="10"/>
        <v>44667</v>
      </c>
      <c r="YY4" s="57">
        <f t="shared" si="10"/>
        <v>44668</v>
      </c>
      <c r="YZ4" s="55">
        <f t="shared" si="10"/>
        <v>44669</v>
      </c>
      <c r="ZA4" s="56">
        <f t="shared" si="10"/>
        <v>44670</v>
      </c>
      <c r="ZB4" s="56">
        <f t="shared" si="10"/>
        <v>44671</v>
      </c>
      <c r="ZC4" s="56">
        <f t="shared" si="10"/>
        <v>44672</v>
      </c>
      <c r="ZD4" s="56">
        <f t="shared" si="10"/>
        <v>44673</v>
      </c>
      <c r="ZE4" s="56">
        <f t="shared" si="10"/>
        <v>44674</v>
      </c>
      <c r="ZF4" s="57">
        <f t="shared" si="10"/>
        <v>44675</v>
      </c>
      <c r="ZG4" s="55">
        <f t="shared" si="10"/>
        <v>44676</v>
      </c>
      <c r="ZH4" s="56">
        <f t="shared" si="10"/>
        <v>44677</v>
      </c>
      <c r="ZI4" s="56">
        <f t="shared" si="10"/>
        <v>44678</v>
      </c>
      <c r="ZJ4" s="56">
        <f t="shared" si="10"/>
        <v>44679</v>
      </c>
      <c r="ZK4" s="56">
        <f t="shared" si="10"/>
        <v>44680</v>
      </c>
      <c r="ZL4" s="56">
        <f t="shared" si="10"/>
        <v>44681</v>
      </c>
      <c r="ZM4" s="57">
        <f t="shared" si="10"/>
        <v>44682</v>
      </c>
      <c r="ZN4" s="55">
        <f t="shared" si="10"/>
        <v>44683</v>
      </c>
      <c r="ZO4" s="56">
        <f t="shared" si="10"/>
        <v>44684</v>
      </c>
      <c r="ZP4" s="56">
        <f t="shared" si="10"/>
        <v>44685</v>
      </c>
      <c r="ZQ4" s="56">
        <f t="shared" si="10"/>
        <v>44686</v>
      </c>
      <c r="ZR4" s="56">
        <f t="shared" si="10"/>
        <v>44687</v>
      </c>
      <c r="ZS4" s="56">
        <f t="shared" si="10"/>
        <v>44688</v>
      </c>
      <c r="ZT4" s="57">
        <f t="shared" si="10"/>
        <v>44689</v>
      </c>
      <c r="ZU4" s="55">
        <f t="shared" si="10"/>
        <v>44690</v>
      </c>
      <c r="ZV4" s="56">
        <f t="shared" si="10"/>
        <v>44691</v>
      </c>
      <c r="ZW4" s="56">
        <f t="shared" si="10"/>
        <v>44692</v>
      </c>
      <c r="ZX4" s="56">
        <f t="shared" si="10"/>
        <v>44693</v>
      </c>
      <c r="ZY4" s="56">
        <f t="shared" si="10"/>
        <v>44694</v>
      </c>
      <c r="ZZ4" s="56">
        <f t="shared" si="10"/>
        <v>44695</v>
      </c>
      <c r="AAA4" s="57">
        <f t="shared" si="10"/>
        <v>44696</v>
      </c>
      <c r="AAB4" s="55">
        <f t="shared" si="10"/>
        <v>44697</v>
      </c>
      <c r="AAC4" s="56">
        <f t="shared" si="10"/>
        <v>44698</v>
      </c>
      <c r="AAD4" s="56">
        <f t="shared" si="10"/>
        <v>44699</v>
      </c>
      <c r="AAE4" s="56">
        <f t="shared" ref="AAE4:ACP4" si="11">AAD4+1</f>
        <v>44700</v>
      </c>
      <c r="AAF4" s="56">
        <f t="shared" si="11"/>
        <v>44701</v>
      </c>
      <c r="AAG4" s="56">
        <f t="shared" si="11"/>
        <v>44702</v>
      </c>
      <c r="AAH4" s="57">
        <f t="shared" si="11"/>
        <v>44703</v>
      </c>
      <c r="AAI4" s="55">
        <f t="shared" si="11"/>
        <v>44704</v>
      </c>
      <c r="AAJ4" s="56">
        <f t="shared" si="11"/>
        <v>44705</v>
      </c>
      <c r="AAK4" s="56">
        <f t="shared" si="11"/>
        <v>44706</v>
      </c>
      <c r="AAL4" s="56">
        <f t="shared" si="11"/>
        <v>44707</v>
      </c>
      <c r="AAM4" s="56">
        <f t="shared" si="11"/>
        <v>44708</v>
      </c>
      <c r="AAN4" s="56">
        <f t="shared" si="11"/>
        <v>44709</v>
      </c>
      <c r="AAO4" s="57">
        <f t="shared" si="11"/>
        <v>44710</v>
      </c>
      <c r="AAP4" s="55">
        <f t="shared" si="11"/>
        <v>44711</v>
      </c>
      <c r="AAQ4" s="56">
        <f t="shared" si="11"/>
        <v>44712</v>
      </c>
      <c r="AAR4" s="56">
        <f t="shared" si="11"/>
        <v>44713</v>
      </c>
      <c r="AAS4" s="56">
        <f t="shared" si="11"/>
        <v>44714</v>
      </c>
      <c r="AAT4" s="56">
        <f t="shared" si="11"/>
        <v>44715</v>
      </c>
      <c r="AAU4" s="56">
        <f t="shared" si="11"/>
        <v>44716</v>
      </c>
      <c r="AAV4" s="57">
        <f t="shared" si="11"/>
        <v>44717</v>
      </c>
      <c r="AAW4" s="55">
        <f t="shared" si="11"/>
        <v>44718</v>
      </c>
      <c r="AAX4" s="56">
        <f t="shared" si="11"/>
        <v>44719</v>
      </c>
      <c r="AAY4" s="56">
        <f t="shared" si="11"/>
        <v>44720</v>
      </c>
      <c r="AAZ4" s="56">
        <f t="shared" si="11"/>
        <v>44721</v>
      </c>
      <c r="ABA4" s="56">
        <f t="shared" si="11"/>
        <v>44722</v>
      </c>
      <c r="ABB4" s="56">
        <f t="shared" si="11"/>
        <v>44723</v>
      </c>
      <c r="ABC4" s="57">
        <f t="shared" si="11"/>
        <v>44724</v>
      </c>
      <c r="ABD4" s="55">
        <f t="shared" si="11"/>
        <v>44725</v>
      </c>
      <c r="ABE4" s="56">
        <f t="shared" si="11"/>
        <v>44726</v>
      </c>
      <c r="ABF4" s="56">
        <f t="shared" si="11"/>
        <v>44727</v>
      </c>
      <c r="ABG4" s="56">
        <f t="shared" si="11"/>
        <v>44728</v>
      </c>
      <c r="ABH4" s="56">
        <f t="shared" si="11"/>
        <v>44729</v>
      </c>
      <c r="ABI4" s="56">
        <f t="shared" si="11"/>
        <v>44730</v>
      </c>
      <c r="ABJ4" s="57">
        <f t="shared" si="11"/>
        <v>44731</v>
      </c>
      <c r="ABK4" s="55">
        <f t="shared" si="11"/>
        <v>44732</v>
      </c>
      <c r="ABL4" s="56">
        <f t="shared" si="11"/>
        <v>44733</v>
      </c>
      <c r="ABM4" s="56">
        <f t="shared" si="11"/>
        <v>44734</v>
      </c>
      <c r="ABN4" s="56">
        <f t="shared" si="11"/>
        <v>44735</v>
      </c>
      <c r="ABO4" s="56">
        <f t="shared" si="11"/>
        <v>44736</v>
      </c>
      <c r="ABP4" s="56">
        <f t="shared" si="11"/>
        <v>44737</v>
      </c>
      <c r="ABQ4" s="57">
        <f t="shared" si="11"/>
        <v>44738</v>
      </c>
      <c r="ABR4" s="55">
        <f t="shared" si="11"/>
        <v>44739</v>
      </c>
      <c r="ABS4" s="56">
        <f t="shared" si="11"/>
        <v>44740</v>
      </c>
      <c r="ABT4" s="56">
        <f t="shared" si="11"/>
        <v>44741</v>
      </c>
      <c r="ABU4" s="56">
        <f t="shared" si="11"/>
        <v>44742</v>
      </c>
      <c r="ABV4" s="56">
        <f t="shared" si="11"/>
        <v>44743</v>
      </c>
      <c r="ABW4" s="56">
        <f t="shared" si="11"/>
        <v>44744</v>
      </c>
      <c r="ABX4" s="57">
        <f t="shared" si="11"/>
        <v>44745</v>
      </c>
      <c r="ABY4" s="55">
        <f t="shared" si="11"/>
        <v>44746</v>
      </c>
      <c r="ABZ4" s="56">
        <f t="shared" si="11"/>
        <v>44747</v>
      </c>
      <c r="ACA4" s="56">
        <f t="shared" si="11"/>
        <v>44748</v>
      </c>
      <c r="ACB4" s="56">
        <f t="shared" si="11"/>
        <v>44749</v>
      </c>
      <c r="ACC4" s="56">
        <f t="shared" si="11"/>
        <v>44750</v>
      </c>
      <c r="ACD4" s="56">
        <f t="shared" si="11"/>
        <v>44751</v>
      </c>
      <c r="ACE4" s="57">
        <f t="shared" si="11"/>
        <v>44752</v>
      </c>
      <c r="ACF4" s="55">
        <f t="shared" si="11"/>
        <v>44753</v>
      </c>
      <c r="ACG4" s="56">
        <f t="shared" si="11"/>
        <v>44754</v>
      </c>
      <c r="ACH4" s="56">
        <f t="shared" si="11"/>
        <v>44755</v>
      </c>
      <c r="ACI4" s="56">
        <f t="shared" si="11"/>
        <v>44756</v>
      </c>
      <c r="ACJ4" s="56">
        <f t="shared" si="11"/>
        <v>44757</v>
      </c>
      <c r="ACK4" s="56">
        <f t="shared" si="11"/>
        <v>44758</v>
      </c>
      <c r="ACL4" s="57">
        <f t="shared" si="11"/>
        <v>44759</v>
      </c>
      <c r="ACM4" s="55">
        <f t="shared" si="11"/>
        <v>44760</v>
      </c>
      <c r="ACN4" s="56">
        <f t="shared" si="11"/>
        <v>44761</v>
      </c>
      <c r="ACO4" s="56">
        <f t="shared" si="11"/>
        <v>44762</v>
      </c>
      <c r="ACP4" s="56">
        <f t="shared" si="11"/>
        <v>44763</v>
      </c>
      <c r="ACQ4" s="56">
        <f t="shared" ref="ACQ4:AFD4" si="12">ACP4+1</f>
        <v>44764</v>
      </c>
      <c r="ACR4" s="56">
        <f t="shared" si="12"/>
        <v>44765</v>
      </c>
      <c r="ACS4" s="57">
        <f t="shared" si="12"/>
        <v>44766</v>
      </c>
      <c r="ACT4" s="55">
        <f t="shared" si="12"/>
        <v>44767</v>
      </c>
      <c r="ACU4" s="56">
        <f t="shared" si="12"/>
        <v>44768</v>
      </c>
      <c r="ACV4" s="56">
        <f t="shared" si="12"/>
        <v>44769</v>
      </c>
      <c r="ACW4" s="56">
        <f t="shared" si="12"/>
        <v>44770</v>
      </c>
      <c r="ACX4" s="56">
        <f t="shared" si="12"/>
        <v>44771</v>
      </c>
      <c r="ACY4" s="56">
        <f t="shared" si="12"/>
        <v>44772</v>
      </c>
      <c r="ACZ4" s="57">
        <f t="shared" si="12"/>
        <v>44773</v>
      </c>
      <c r="ADA4" s="55">
        <f t="shared" si="12"/>
        <v>44774</v>
      </c>
      <c r="ADB4" s="56">
        <f t="shared" si="12"/>
        <v>44775</v>
      </c>
      <c r="ADC4" s="56">
        <f t="shared" si="12"/>
        <v>44776</v>
      </c>
      <c r="ADD4" s="56">
        <f t="shared" si="12"/>
        <v>44777</v>
      </c>
      <c r="ADE4" s="56">
        <f t="shared" si="12"/>
        <v>44778</v>
      </c>
      <c r="ADF4" s="56">
        <f t="shared" si="12"/>
        <v>44779</v>
      </c>
      <c r="ADG4" s="57">
        <f t="shared" si="12"/>
        <v>44780</v>
      </c>
      <c r="ADH4" s="55">
        <f t="shared" si="12"/>
        <v>44781</v>
      </c>
      <c r="ADI4" s="56">
        <f t="shared" si="12"/>
        <v>44782</v>
      </c>
      <c r="ADJ4" s="56">
        <f t="shared" si="12"/>
        <v>44783</v>
      </c>
      <c r="ADK4" s="56">
        <f t="shared" si="12"/>
        <v>44784</v>
      </c>
      <c r="ADL4" s="56">
        <f t="shared" si="12"/>
        <v>44785</v>
      </c>
      <c r="ADM4" s="56">
        <f t="shared" si="12"/>
        <v>44786</v>
      </c>
      <c r="ADN4" s="57">
        <f t="shared" si="12"/>
        <v>44787</v>
      </c>
      <c r="ADO4" s="55">
        <f t="shared" si="12"/>
        <v>44788</v>
      </c>
      <c r="ADP4" s="56">
        <f t="shared" si="12"/>
        <v>44789</v>
      </c>
      <c r="ADQ4" s="56">
        <f t="shared" si="12"/>
        <v>44790</v>
      </c>
      <c r="ADR4" s="56">
        <f t="shared" si="12"/>
        <v>44791</v>
      </c>
      <c r="ADS4" s="56">
        <f t="shared" si="12"/>
        <v>44792</v>
      </c>
      <c r="ADT4" s="56">
        <f t="shared" si="12"/>
        <v>44793</v>
      </c>
      <c r="ADU4" s="57">
        <f t="shared" si="12"/>
        <v>44794</v>
      </c>
      <c r="ADV4" s="55">
        <f t="shared" si="12"/>
        <v>44795</v>
      </c>
      <c r="ADW4" s="56">
        <f t="shared" si="12"/>
        <v>44796</v>
      </c>
      <c r="ADX4" s="56">
        <f t="shared" si="12"/>
        <v>44797</v>
      </c>
      <c r="ADY4" s="56">
        <f t="shared" si="12"/>
        <v>44798</v>
      </c>
      <c r="ADZ4" s="56">
        <f t="shared" si="12"/>
        <v>44799</v>
      </c>
      <c r="AEA4" s="56">
        <f t="shared" si="12"/>
        <v>44800</v>
      </c>
      <c r="AEB4" s="57">
        <f t="shared" si="12"/>
        <v>44801</v>
      </c>
      <c r="AEC4" s="55">
        <f t="shared" si="12"/>
        <v>44802</v>
      </c>
      <c r="AED4" s="56">
        <f t="shared" si="12"/>
        <v>44803</v>
      </c>
      <c r="AEE4" s="56">
        <f t="shared" si="12"/>
        <v>44804</v>
      </c>
      <c r="AEF4" s="56">
        <f t="shared" si="12"/>
        <v>44805</v>
      </c>
      <c r="AEG4" s="56">
        <f t="shared" si="12"/>
        <v>44806</v>
      </c>
      <c r="AEH4" s="56">
        <f t="shared" si="12"/>
        <v>44807</v>
      </c>
      <c r="AEI4" s="57">
        <f t="shared" si="12"/>
        <v>44808</v>
      </c>
      <c r="AEJ4" s="55">
        <f t="shared" si="12"/>
        <v>44809</v>
      </c>
      <c r="AEK4" s="56">
        <f t="shared" si="12"/>
        <v>44810</v>
      </c>
      <c r="AEL4" s="56">
        <f t="shared" si="12"/>
        <v>44811</v>
      </c>
      <c r="AEM4" s="56">
        <f t="shared" si="12"/>
        <v>44812</v>
      </c>
      <c r="AEN4" s="56">
        <f t="shared" si="12"/>
        <v>44813</v>
      </c>
      <c r="AEO4" s="56">
        <f t="shared" si="12"/>
        <v>44814</v>
      </c>
      <c r="AEP4" s="57">
        <f t="shared" si="12"/>
        <v>44815</v>
      </c>
      <c r="AEQ4" s="55">
        <f t="shared" si="12"/>
        <v>44816</v>
      </c>
      <c r="AER4" s="56">
        <f t="shared" si="12"/>
        <v>44817</v>
      </c>
      <c r="AES4" s="56">
        <f t="shared" si="12"/>
        <v>44818</v>
      </c>
      <c r="AET4" s="56">
        <f t="shared" si="12"/>
        <v>44819</v>
      </c>
      <c r="AEU4" s="56">
        <f t="shared" si="12"/>
        <v>44820</v>
      </c>
      <c r="AEV4" s="56">
        <f t="shared" si="12"/>
        <v>44821</v>
      </c>
      <c r="AEW4" s="57">
        <f t="shared" si="12"/>
        <v>44822</v>
      </c>
      <c r="AEX4" s="55">
        <f t="shared" si="12"/>
        <v>44823</v>
      </c>
      <c r="AEY4" s="56">
        <f t="shared" si="12"/>
        <v>44824</v>
      </c>
      <c r="AEZ4" s="56">
        <f t="shared" si="12"/>
        <v>44825</v>
      </c>
      <c r="AFA4" s="56">
        <f t="shared" si="12"/>
        <v>44826</v>
      </c>
      <c r="AFB4" s="56">
        <f t="shared" si="12"/>
        <v>44827</v>
      </c>
      <c r="AFC4" s="56">
        <f t="shared" si="12"/>
        <v>44828</v>
      </c>
      <c r="AFD4" s="57">
        <f t="shared" si="12"/>
        <v>44829</v>
      </c>
    </row>
    <row r="5" spans="1:836" s="53" customFormat="1" ht="23.7" thickBot="1" x14ac:dyDescent="0.45">
      <c r="A5" s="58"/>
      <c r="B5" s="98" t="s">
        <v>6</v>
      </c>
      <c r="C5" s="59" t="s">
        <v>7</v>
      </c>
      <c r="D5" s="60" t="s">
        <v>8</v>
      </c>
      <c r="E5" s="61" t="s">
        <v>9</v>
      </c>
      <c r="F5" s="61" t="s">
        <v>10</v>
      </c>
      <c r="G5" s="59" t="s">
        <v>11</v>
      </c>
      <c r="H5" s="59" t="s">
        <v>12</v>
      </c>
      <c r="I5" s="59" t="s">
        <v>13</v>
      </c>
      <c r="J5" s="59"/>
      <c r="K5" s="62" t="str">
        <f t="shared" ref="K5:BN5" si="13">CHOOSE(WEEKDAY(K4,1),"S","M","T","W","T","F","S")</f>
        <v>M</v>
      </c>
      <c r="L5" s="63" t="str">
        <f t="shared" si="13"/>
        <v>T</v>
      </c>
      <c r="M5" s="63" t="str">
        <f t="shared" si="13"/>
        <v>W</v>
      </c>
      <c r="N5" s="63" t="str">
        <f t="shared" si="13"/>
        <v>T</v>
      </c>
      <c r="O5" s="63" t="str">
        <f t="shared" si="13"/>
        <v>F</v>
      </c>
      <c r="P5" s="63" t="str">
        <f t="shared" si="13"/>
        <v>S</v>
      </c>
      <c r="Q5" s="64" t="str">
        <f t="shared" si="13"/>
        <v>S</v>
      </c>
      <c r="R5" s="62" t="str">
        <f t="shared" si="13"/>
        <v>M</v>
      </c>
      <c r="S5" s="63" t="str">
        <f t="shared" si="13"/>
        <v>T</v>
      </c>
      <c r="T5" s="63" t="str">
        <f t="shared" si="13"/>
        <v>W</v>
      </c>
      <c r="U5" s="63" t="str">
        <f t="shared" si="13"/>
        <v>T</v>
      </c>
      <c r="V5" s="63" t="str">
        <f t="shared" si="13"/>
        <v>F</v>
      </c>
      <c r="W5" s="63" t="str">
        <f t="shared" si="13"/>
        <v>S</v>
      </c>
      <c r="X5" s="64" t="str">
        <f t="shared" si="13"/>
        <v>S</v>
      </c>
      <c r="Y5" s="62" t="str">
        <f t="shared" si="13"/>
        <v>M</v>
      </c>
      <c r="Z5" s="63" t="str">
        <f t="shared" si="13"/>
        <v>T</v>
      </c>
      <c r="AA5" s="63" t="str">
        <f t="shared" si="13"/>
        <v>W</v>
      </c>
      <c r="AB5" s="63" t="str">
        <f t="shared" si="13"/>
        <v>T</v>
      </c>
      <c r="AC5" s="63" t="str">
        <f t="shared" si="13"/>
        <v>F</v>
      </c>
      <c r="AD5" s="63" t="str">
        <f t="shared" si="13"/>
        <v>S</v>
      </c>
      <c r="AE5" s="64" t="str">
        <f t="shared" si="13"/>
        <v>S</v>
      </c>
      <c r="AF5" s="62" t="str">
        <f t="shared" si="13"/>
        <v>M</v>
      </c>
      <c r="AG5" s="63" t="str">
        <f t="shared" si="13"/>
        <v>T</v>
      </c>
      <c r="AH5" s="63" t="str">
        <f t="shared" si="13"/>
        <v>W</v>
      </c>
      <c r="AI5" s="63" t="str">
        <f t="shared" si="13"/>
        <v>T</v>
      </c>
      <c r="AJ5" s="63" t="str">
        <f t="shared" si="13"/>
        <v>F</v>
      </c>
      <c r="AK5" s="63" t="str">
        <f t="shared" si="13"/>
        <v>S</v>
      </c>
      <c r="AL5" s="64" t="str">
        <f t="shared" si="13"/>
        <v>S</v>
      </c>
      <c r="AM5" s="62" t="str">
        <f t="shared" si="13"/>
        <v>M</v>
      </c>
      <c r="AN5" s="63" t="str">
        <f t="shared" si="13"/>
        <v>T</v>
      </c>
      <c r="AO5" s="63" t="str">
        <f t="shared" si="13"/>
        <v>W</v>
      </c>
      <c r="AP5" s="63" t="str">
        <f t="shared" si="13"/>
        <v>T</v>
      </c>
      <c r="AQ5" s="63" t="str">
        <f t="shared" si="13"/>
        <v>F</v>
      </c>
      <c r="AR5" s="63" t="str">
        <f t="shared" si="13"/>
        <v>S</v>
      </c>
      <c r="AS5" s="64" t="str">
        <f t="shared" si="13"/>
        <v>S</v>
      </c>
      <c r="AT5" s="62" t="str">
        <f t="shared" si="13"/>
        <v>M</v>
      </c>
      <c r="AU5" s="63" t="str">
        <f t="shared" si="13"/>
        <v>T</v>
      </c>
      <c r="AV5" s="63" t="str">
        <f t="shared" si="13"/>
        <v>W</v>
      </c>
      <c r="AW5" s="63" t="str">
        <f t="shared" si="13"/>
        <v>T</v>
      </c>
      <c r="AX5" s="63" t="str">
        <f t="shared" si="13"/>
        <v>F</v>
      </c>
      <c r="AY5" s="63" t="str">
        <f t="shared" si="13"/>
        <v>S</v>
      </c>
      <c r="AZ5" s="64" t="str">
        <f t="shared" si="13"/>
        <v>S</v>
      </c>
      <c r="BA5" s="62" t="str">
        <f t="shared" si="13"/>
        <v>M</v>
      </c>
      <c r="BB5" s="63" t="str">
        <f t="shared" si="13"/>
        <v>T</v>
      </c>
      <c r="BC5" s="63" t="str">
        <f t="shared" si="13"/>
        <v>W</v>
      </c>
      <c r="BD5" s="63" t="str">
        <f t="shared" si="13"/>
        <v>T</v>
      </c>
      <c r="BE5" s="63" t="str">
        <f t="shared" si="13"/>
        <v>F</v>
      </c>
      <c r="BF5" s="63" t="str">
        <f t="shared" si="13"/>
        <v>S</v>
      </c>
      <c r="BG5" s="64" t="str">
        <f t="shared" si="13"/>
        <v>S</v>
      </c>
      <c r="BH5" s="62" t="str">
        <f t="shared" si="13"/>
        <v>M</v>
      </c>
      <c r="BI5" s="63" t="str">
        <f t="shared" si="13"/>
        <v>T</v>
      </c>
      <c r="BJ5" s="63" t="str">
        <f t="shared" si="13"/>
        <v>W</v>
      </c>
      <c r="BK5" s="63" t="str">
        <f t="shared" si="13"/>
        <v>T</v>
      </c>
      <c r="BL5" s="63" t="str">
        <f t="shared" si="13"/>
        <v>F</v>
      </c>
      <c r="BM5" s="63" t="str">
        <f t="shared" si="13"/>
        <v>S</v>
      </c>
      <c r="BN5" s="64" t="str">
        <f t="shared" si="13"/>
        <v>S</v>
      </c>
      <c r="BO5" s="62" t="str">
        <f t="shared" ref="BO5:BU5" si="14">CHOOSE(WEEKDAY(BO4,1),"S","M","T","W","T","F","S")</f>
        <v>M</v>
      </c>
      <c r="BP5" s="63" t="str">
        <f t="shared" si="14"/>
        <v>T</v>
      </c>
      <c r="BQ5" s="63" t="str">
        <f t="shared" si="14"/>
        <v>W</v>
      </c>
      <c r="BR5" s="63" t="str">
        <f t="shared" si="14"/>
        <v>T</v>
      </c>
      <c r="BS5" s="63" t="str">
        <f t="shared" si="14"/>
        <v>F</v>
      </c>
      <c r="BT5" s="63" t="str">
        <f t="shared" si="14"/>
        <v>S</v>
      </c>
      <c r="BU5" s="64" t="str">
        <f t="shared" si="14"/>
        <v>S</v>
      </c>
      <c r="BV5" s="62" t="str">
        <f t="shared" ref="BV5:EG5" si="15">CHOOSE(WEEKDAY(BV4,1),"S","M","T","W","T","F","S")</f>
        <v>M</v>
      </c>
      <c r="BW5" s="63" t="str">
        <f t="shared" si="15"/>
        <v>T</v>
      </c>
      <c r="BX5" s="63" t="str">
        <f t="shared" si="15"/>
        <v>W</v>
      </c>
      <c r="BY5" s="63" t="str">
        <f t="shared" si="15"/>
        <v>T</v>
      </c>
      <c r="BZ5" s="63" t="str">
        <f t="shared" si="15"/>
        <v>F</v>
      </c>
      <c r="CA5" s="63" t="str">
        <f t="shared" si="15"/>
        <v>S</v>
      </c>
      <c r="CB5" s="64" t="str">
        <f t="shared" si="15"/>
        <v>S</v>
      </c>
      <c r="CC5" s="62" t="str">
        <f t="shared" si="15"/>
        <v>M</v>
      </c>
      <c r="CD5" s="63" t="str">
        <f t="shared" si="15"/>
        <v>T</v>
      </c>
      <c r="CE5" s="63" t="str">
        <f t="shared" si="15"/>
        <v>W</v>
      </c>
      <c r="CF5" s="63" t="str">
        <f t="shared" si="15"/>
        <v>T</v>
      </c>
      <c r="CG5" s="63" t="str">
        <f t="shared" si="15"/>
        <v>F</v>
      </c>
      <c r="CH5" s="63" t="str">
        <f t="shared" si="15"/>
        <v>S</v>
      </c>
      <c r="CI5" s="64" t="str">
        <f t="shared" si="15"/>
        <v>S</v>
      </c>
      <c r="CJ5" s="62" t="str">
        <f t="shared" si="15"/>
        <v>M</v>
      </c>
      <c r="CK5" s="63" t="str">
        <f t="shared" si="15"/>
        <v>T</v>
      </c>
      <c r="CL5" s="63" t="str">
        <f t="shared" si="15"/>
        <v>W</v>
      </c>
      <c r="CM5" s="63" t="str">
        <f t="shared" si="15"/>
        <v>T</v>
      </c>
      <c r="CN5" s="63" t="str">
        <f t="shared" si="15"/>
        <v>F</v>
      </c>
      <c r="CO5" s="63" t="str">
        <f t="shared" si="15"/>
        <v>S</v>
      </c>
      <c r="CP5" s="64" t="str">
        <f t="shared" si="15"/>
        <v>S</v>
      </c>
      <c r="CQ5" s="62" t="str">
        <f t="shared" si="15"/>
        <v>M</v>
      </c>
      <c r="CR5" s="63" t="str">
        <f t="shared" si="15"/>
        <v>T</v>
      </c>
      <c r="CS5" s="63" t="str">
        <f t="shared" si="15"/>
        <v>W</v>
      </c>
      <c r="CT5" s="63" t="str">
        <f t="shared" si="15"/>
        <v>T</v>
      </c>
      <c r="CU5" s="63" t="str">
        <f t="shared" si="15"/>
        <v>F</v>
      </c>
      <c r="CV5" s="63" t="str">
        <f t="shared" si="15"/>
        <v>S</v>
      </c>
      <c r="CW5" s="64" t="str">
        <f t="shared" si="15"/>
        <v>S</v>
      </c>
      <c r="CX5" s="62" t="str">
        <f t="shared" si="15"/>
        <v>M</v>
      </c>
      <c r="CY5" s="63" t="str">
        <f t="shared" si="15"/>
        <v>T</v>
      </c>
      <c r="CZ5" s="63" t="str">
        <f t="shared" si="15"/>
        <v>W</v>
      </c>
      <c r="DA5" s="63" t="str">
        <f t="shared" si="15"/>
        <v>T</v>
      </c>
      <c r="DB5" s="63" t="str">
        <f t="shared" si="15"/>
        <v>F</v>
      </c>
      <c r="DC5" s="63" t="str">
        <f t="shared" si="15"/>
        <v>S</v>
      </c>
      <c r="DD5" s="64" t="str">
        <f t="shared" si="15"/>
        <v>S</v>
      </c>
      <c r="DE5" s="62" t="str">
        <f t="shared" si="15"/>
        <v>M</v>
      </c>
      <c r="DF5" s="63" t="str">
        <f t="shared" si="15"/>
        <v>T</v>
      </c>
      <c r="DG5" s="63" t="str">
        <f t="shared" si="15"/>
        <v>W</v>
      </c>
      <c r="DH5" s="63" t="str">
        <f t="shared" si="15"/>
        <v>T</v>
      </c>
      <c r="DI5" s="63" t="str">
        <f t="shared" si="15"/>
        <v>F</v>
      </c>
      <c r="DJ5" s="63" t="str">
        <f t="shared" si="15"/>
        <v>S</v>
      </c>
      <c r="DK5" s="64" t="str">
        <f t="shared" si="15"/>
        <v>S</v>
      </c>
      <c r="DL5" s="62" t="str">
        <f t="shared" si="15"/>
        <v>M</v>
      </c>
      <c r="DM5" s="63" t="str">
        <f t="shared" si="15"/>
        <v>T</v>
      </c>
      <c r="DN5" s="63" t="str">
        <f t="shared" si="15"/>
        <v>W</v>
      </c>
      <c r="DO5" s="63" t="str">
        <f t="shared" si="15"/>
        <v>T</v>
      </c>
      <c r="DP5" s="63" t="str">
        <f t="shared" si="15"/>
        <v>F</v>
      </c>
      <c r="DQ5" s="63" t="str">
        <f t="shared" si="15"/>
        <v>S</v>
      </c>
      <c r="DR5" s="64" t="str">
        <f t="shared" si="15"/>
        <v>S</v>
      </c>
      <c r="DS5" s="62" t="str">
        <f t="shared" si="15"/>
        <v>M</v>
      </c>
      <c r="DT5" s="63" t="str">
        <f t="shared" si="15"/>
        <v>T</v>
      </c>
      <c r="DU5" s="63" t="str">
        <f t="shared" si="15"/>
        <v>W</v>
      </c>
      <c r="DV5" s="63" t="str">
        <f t="shared" si="15"/>
        <v>T</v>
      </c>
      <c r="DW5" s="63" t="str">
        <f t="shared" si="15"/>
        <v>F</v>
      </c>
      <c r="DX5" s="63" t="str">
        <f t="shared" si="15"/>
        <v>S</v>
      </c>
      <c r="DY5" s="64" t="str">
        <f t="shared" si="15"/>
        <v>S</v>
      </c>
      <c r="DZ5" s="62" t="str">
        <f t="shared" si="15"/>
        <v>M</v>
      </c>
      <c r="EA5" s="63" t="str">
        <f t="shared" si="15"/>
        <v>T</v>
      </c>
      <c r="EB5" s="63" t="str">
        <f t="shared" si="15"/>
        <v>W</v>
      </c>
      <c r="EC5" s="63" t="str">
        <f t="shared" si="15"/>
        <v>T</v>
      </c>
      <c r="ED5" s="63" t="str">
        <f t="shared" si="15"/>
        <v>F</v>
      </c>
      <c r="EE5" s="63" t="str">
        <f t="shared" si="15"/>
        <v>S</v>
      </c>
      <c r="EF5" s="64" t="str">
        <f t="shared" si="15"/>
        <v>S</v>
      </c>
      <c r="EG5" s="62" t="str">
        <f t="shared" si="15"/>
        <v>M</v>
      </c>
      <c r="EH5" s="63" t="str">
        <f t="shared" ref="EH5:GS5" si="16">CHOOSE(WEEKDAY(EH4,1),"S","M","T","W","T","F","S")</f>
        <v>T</v>
      </c>
      <c r="EI5" s="63" t="str">
        <f t="shared" si="16"/>
        <v>W</v>
      </c>
      <c r="EJ5" s="63" t="str">
        <f t="shared" si="16"/>
        <v>T</v>
      </c>
      <c r="EK5" s="63" t="str">
        <f t="shared" si="16"/>
        <v>F</v>
      </c>
      <c r="EL5" s="63" t="str">
        <f t="shared" si="16"/>
        <v>S</v>
      </c>
      <c r="EM5" s="64" t="str">
        <f t="shared" si="16"/>
        <v>S</v>
      </c>
      <c r="EN5" s="62" t="str">
        <f t="shared" si="16"/>
        <v>M</v>
      </c>
      <c r="EO5" s="63" t="str">
        <f t="shared" si="16"/>
        <v>T</v>
      </c>
      <c r="EP5" s="63" t="str">
        <f t="shared" si="16"/>
        <v>W</v>
      </c>
      <c r="EQ5" s="63" t="str">
        <f t="shared" si="16"/>
        <v>T</v>
      </c>
      <c r="ER5" s="63" t="str">
        <f t="shared" si="16"/>
        <v>F</v>
      </c>
      <c r="ES5" s="63" t="str">
        <f t="shared" si="16"/>
        <v>S</v>
      </c>
      <c r="ET5" s="64" t="str">
        <f t="shared" si="16"/>
        <v>S</v>
      </c>
      <c r="EU5" s="62" t="str">
        <f t="shared" si="16"/>
        <v>M</v>
      </c>
      <c r="EV5" s="63" t="str">
        <f t="shared" si="16"/>
        <v>T</v>
      </c>
      <c r="EW5" s="63" t="str">
        <f t="shared" si="16"/>
        <v>W</v>
      </c>
      <c r="EX5" s="63" t="str">
        <f t="shared" si="16"/>
        <v>T</v>
      </c>
      <c r="EY5" s="63" t="str">
        <f t="shared" si="16"/>
        <v>F</v>
      </c>
      <c r="EZ5" s="63" t="str">
        <f t="shared" si="16"/>
        <v>S</v>
      </c>
      <c r="FA5" s="64" t="str">
        <f t="shared" si="16"/>
        <v>S</v>
      </c>
      <c r="FB5" s="62" t="str">
        <f t="shared" si="16"/>
        <v>M</v>
      </c>
      <c r="FC5" s="63" t="str">
        <f t="shared" si="16"/>
        <v>T</v>
      </c>
      <c r="FD5" s="63" t="str">
        <f t="shared" si="16"/>
        <v>W</v>
      </c>
      <c r="FE5" s="63" t="str">
        <f t="shared" si="16"/>
        <v>T</v>
      </c>
      <c r="FF5" s="63" t="str">
        <f t="shared" si="16"/>
        <v>F</v>
      </c>
      <c r="FG5" s="63" t="str">
        <f t="shared" si="16"/>
        <v>S</v>
      </c>
      <c r="FH5" s="64" t="str">
        <f t="shared" si="16"/>
        <v>S</v>
      </c>
      <c r="FI5" s="62" t="str">
        <f t="shared" si="16"/>
        <v>M</v>
      </c>
      <c r="FJ5" s="63" t="str">
        <f t="shared" si="16"/>
        <v>T</v>
      </c>
      <c r="FK5" s="63" t="str">
        <f t="shared" si="16"/>
        <v>W</v>
      </c>
      <c r="FL5" s="63" t="str">
        <f t="shared" si="16"/>
        <v>T</v>
      </c>
      <c r="FM5" s="63" t="str">
        <f t="shared" si="16"/>
        <v>F</v>
      </c>
      <c r="FN5" s="63" t="str">
        <f t="shared" si="16"/>
        <v>S</v>
      </c>
      <c r="FO5" s="64" t="str">
        <f t="shared" si="16"/>
        <v>S</v>
      </c>
      <c r="FP5" s="62" t="str">
        <f t="shared" si="16"/>
        <v>M</v>
      </c>
      <c r="FQ5" s="63" t="str">
        <f t="shared" si="16"/>
        <v>T</v>
      </c>
      <c r="FR5" s="63" t="str">
        <f t="shared" si="16"/>
        <v>W</v>
      </c>
      <c r="FS5" s="63" t="str">
        <f t="shared" si="16"/>
        <v>T</v>
      </c>
      <c r="FT5" s="63" t="str">
        <f t="shared" si="16"/>
        <v>F</v>
      </c>
      <c r="FU5" s="63" t="str">
        <f t="shared" si="16"/>
        <v>S</v>
      </c>
      <c r="FV5" s="64" t="str">
        <f t="shared" si="16"/>
        <v>S</v>
      </c>
      <c r="FW5" s="62" t="str">
        <f t="shared" si="16"/>
        <v>M</v>
      </c>
      <c r="FX5" s="63" t="str">
        <f t="shared" si="16"/>
        <v>T</v>
      </c>
      <c r="FY5" s="63" t="str">
        <f t="shared" si="16"/>
        <v>W</v>
      </c>
      <c r="FZ5" s="63" t="str">
        <f t="shared" si="16"/>
        <v>T</v>
      </c>
      <c r="GA5" s="63" t="str">
        <f t="shared" si="16"/>
        <v>F</v>
      </c>
      <c r="GB5" s="63" t="str">
        <f t="shared" si="16"/>
        <v>S</v>
      </c>
      <c r="GC5" s="64" t="str">
        <f t="shared" si="16"/>
        <v>S</v>
      </c>
      <c r="GD5" s="62" t="str">
        <f t="shared" si="16"/>
        <v>M</v>
      </c>
      <c r="GE5" s="63" t="str">
        <f t="shared" si="16"/>
        <v>T</v>
      </c>
      <c r="GF5" s="63" t="str">
        <f t="shared" si="16"/>
        <v>W</v>
      </c>
      <c r="GG5" s="63" t="str">
        <f t="shared" si="16"/>
        <v>T</v>
      </c>
      <c r="GH5" s="63" t="str">
        <f t="shared" si="16"/>
        <v>F</v>
      </c>
      <c r="GI5" s="63" t="str">
        <f t="shared" si="16"/>
        <v>S</v>
      </c>
      <c r="GJ5" s="64" t="str">
        <f t="shared" si="16"/>
        <v>S</v>
      </c>
      <c r="GK5" s="62" t="str">
        <f t="shared" si="16"/>
        <v>M</v>
      </c>
      <c r="GL5" s="63" t="str">
        <f t="shared" si="16"/>
        <v>T</v>
      </c>
      <c r="GM5" s="63" t="str">
        <f t="shared" si="16"/>
        <v>W</v>
      </c>
      <c r="GN5" s="63" t="str">
        <f t="shared" si="16"/>
        <v>T</v>
      </c>
      <c r="GO5" s="63" t="str">
        <f t="shared" si="16"/>
        <v>F</v>
      </c>
      <c r="GP5" s="63" t="str">
        <f t="shared" si="16"/>
        <v>S</v>
      </c>
      <c r="GQ5" s="64" t="str">
        <f t="shared" si="16"/>
        <v>S</v>
      </c>
      <c r="GR5" s="62" t="str">
        <f t="shared" si="16"/>
        <v>M</v>
      </c>
      <c r="GS5" s="63" t="str">
        <f t="shared" si="16"/>
        <v>T</v>
      </c>
      <c r="GT5" s="63" t="str">
        <f t="shared" ref="GT5:JE5" si="17">CHOOSE(WEEKDAY(GT4,1),"S","M","T","W","T","F","S")</f>
        <v>W</v>
      </c>
      <c r="GU5" s="63" t="str">
        <f t="shared" si="17"/>
        <v>T</v>
      </c>
      <c r="GV5" s="63" t="str">
        <f t="shared" si="17"/>
        <v>F</v>
      </c>
      <c r="GW5" s="63" t="str">
        <f t="shared" si="17"/>
        <v>S</v>
      </c>
      <c r="GX5" s="64" t="str">
        <f t="shared" si="17"/>
        <v>S</v>
      </c>
      <c r="GY5" s="62" t="str">
        <f t="shared" si="17"/>
        <v>M</v>
      </c>
      <c r="GZ5" s="63" t="str">
        <f t="shared" si="17"/>
        <v>T</v>
      </c>
      <c r="HA5" s="63" t="str">
        <f t="shared" si="17"/>
        <v>W</v>
      </c>
      <c r="HB5" s="63" t="str">
        <f t="shared" si="17"/>
        <v>T</v>
      </c>
      <c r="HC5" s="63" t="str">
        <f t="shared" si="17"/>
        <v>F</v>
      </c>
      <c r="HD5" s="63" t="str">
        <f t="shared" si="17"/>
        <v>S</v>
      </c>
      <c r="HE5" s="64" t="str">
        <f t="shared" si="17"/>
        <v>S</v>
      </c>
      <c r="HF5" s="62" t="str">
        <f t="shared" si="17"/>
        <v>M</v>
      </c>
      <c r="HG5" s="63" t="str">
        <f t="shared" si="17"/>
        <v>T</v>
      </c>
      <c r="HH5" s="63" t="str">
        <f t="shared" si="17"/>
        <v>W</v>
      </c>
      <c r="HI5" s="63" t="str">
        <f t="shared" si="17"/>
        <v>T</v>
      </c>
      <c r="HJ5" s="63" t="str">
        <f t="shared" si="17"/>
        <v>F</v>
      </c>
      <c r="HK5" s="63" t="str">
        <f t="shared" si="17"/>
        <v>S</v>
      </c>
      <c r="HL5" s="64" t="str">
        <f t="shared" si="17"/>
        <v>S</v>
      </c>
      <c r="HM5" s="62" t="str">
        <f t="shared" si="17"/>
        <v>M</v>
      </c>
      <c r="HN5" s="63" t="str">
        <f t="shared" si="17"/>
        <v>T</v>
      </c>
      <c r="HO5" s="63" t="str">
        <f t="shared" si="17"/>
        <v>W</v>
      </c>
      <c r="HP5" s="63" t="str">
        <f t="shared" si="17"/>
        <v>T</v>
      </c>
      <c r="HQ5" s="63" t="str">
        <f t="shared" si="17"/>
        <v>F</v>
      </c>
      <c r="HR5" s="63" t="str">
        <f t="shared" si="17"/>
        <v>S</v>
      </c>
      <c r="HS5" s="64" t="str">
        <f t="shared" si="17"/>
        <v>S</v>
      </c>
      <c r="HT5" s="62" t="str">
        <f t="shared" si="17"/>
        <v>M</v>
      </c>
      <c r="HU5" s="63" t="str">
        <f t="shared" si="17"/>
        <v>T</v>
      </c>
      <c r="HV5" s="63" t="str">
        <f t="shared" si="17"/>
        <v>W</v>
      </c>
      <c r="HW5" s="63" t="str">
        <f t="shared" si="17"/>
        <v>T</v>
      </c>
      <c r="HX5" s="63" t="str">
        <f t="shared" si="17"/>
        <v>F</v>
      </c>
      <c r="HY5" s="63" t="str">
        <f t="shared" si="17"/>
        <v>S</v>
      </c>
      <c r="HZ5" s="64" t="str">
        <f t="shared" si="17"/>
        <v>S</v>
      </c>
      <c r="IA5" s="62" t="str">
        <f t="shared" si="17"/>
        <v>M</v>
      </c>
      <c r="IB5" s="63" t="str">
        <f t="shared" si="17"/>
        <v>T</v>
      </c>
      <c r="IC5" s="63" t="str">
        <f t="shared" si="17"/>
        <v>W</v>
      </c>
      <c r="ID5" s="63" t="str">
        <f t="shared" si="17"/>
        <v>T</v>
      </c>
      <c r="IE5" s="63" t="str">
        <f t="shared" si="17"/>
        <v>F</v>
      </c>
      <c r="IF5" s="63" t="str">
        <f t="shared" si="17"/>
        <v>S</v>
      </c>
      <c r="IG5" s="64" t="str">
        <f t="shared" si="17"/>
        <v>S</v>
      </c>
      <c r="IH5" s="62" t="str">
        <f t="shared" si="17"/>
        <v>M</v>
      </c>
      <c r="II5" s="63" t="str">
        <f t="shared" si="17"/>
        <v>T</v>
      </c>
      <c r="IJ5" s="63" t="str">
        <f t="shared" si="17"/>
        <v>W</v>
      </c>
      <c r="IK5" s="63" t="str">
        <f t="shared" si="17"/>
        <v>T</v>
      </c>
      <c r="IL5" s="63" t="str">
        <f t="shared" si="17"/>
        <v>F</v>
      </c>
      <c r="IM5" s="63" t="str">
        <f t="shared" si="17"/>
        <v>S</v>
      </c>
      <c r="IN5" s="64" t="str">
        <f t="shared" si="17"/>
        <v>S</v>
      </c>
      <c r="IO5" s="62" t="str">
        <f t="shared" si="17"/>
        <v>M</v>
      </c>
      <c r="IP5" s="63" t="str">
        <f t="shared" si="17"/>
        <v>T</v>
      </c>
      <c r="IQ5" s="63" t="str">
        <f t="shared" si="17"/>
        <v>W</v>
      </c>
      <c r="IR5" s="63" t="str">
        <f t="shared" si="17"/>
        <v>T</v>
      </c>
      <c r="IS5" s="63" t="str">
        <f t="shared" si="17"/>
        <v>F</v>
      </c>
      <c r="IT5" s="63" t="str">
        <f t="shared" si="17"/>
        <v>S</v>
      </c>
      <c r="IU5" s="64" t="str">
        <f t="shared" si="17"/>
        <v>S</v>
      </c>
      <c r="IV5" s="62" t="str">
        <f t="shared" si="17"/>
        <v>M</v>
      </c>
      <c r="IW5" s="63" t="str">
        <f t="shared" si="17"/>
        <v>T</v>
      </c>
      <c r="IX5" s="63" t="str">
        <f t="shared" si="17"/>
        <v>W</v>
      </c>
      <c r="IY5" s="63" t="str">
        <f t="shared" si="17"/>
        <v>T</v>
      </c>
      <c r="IZ5" s="63" t="str">
        <f t="shared" si="17"/>
        <v>F</v>
      </c>
      <c r="JA5" s="63" t="str">
        <f t="shared" si="17"/>
        <v>S</v>
      </c>
      <c r="JB5" s="64" t="str">
        <f t="shared" si="17"/>
        <v>S</v>
      </c>
      <c r="JC5" s="62" t="str">
        <f t="shared" si="17"/>
        <v>M</v>
      </c>
      <c r="JD5" s="63" t="str">
        <f t="shared" si="17"/>
        <v>T</v>
      </c>
      <c r="JE5" s="63" t="str">
        <f t="shared" si="17"/>
        <v>W</v>
      </c>
      <c r="JF5" s="63" t="str">
        <f t="shared" ref="JF5:LQ5" si="18">CHOOSE(WEEKDAY(JF4,1),"S","M","T","W","T","F","S")</f>
        <v>T</v>
      </c>
      <c r="JG5" s="63" t="str">
        <f t="shared" si="18"/>
        <v>F</v>
      </c>
      <c r="JH5" s="63" t="str">
        <f t="shared" si="18"/>
        <v>S</v>
      </c>
      <c r="JI5" s="64" t="str">
        <f t="shared" si="18"/>
        <v>S</v>
      </c>
      <c r="JJ5" s="62" t="str">
        <f t="shared" si="18"/>
        <v>M</v>
      </c>
      <c r="JK5" s="63" t="str">
        <f t="shared" si="18"/>
        <v>T</v>
      </c>
      <c r="JL5" s="63" t="str">
        <f t="shared" si="18"/>
        <v>W</v>
      </c>
      <c r="JM5" s="63" t="str">
        <f t="shared" si="18"/>
        <v>T</v>
      </c>
      <c r="JN5" s="63" t="str">
        <f t="shared" si="18"/>
        <v>F</v>
      </c>
      <c r="JO5" s="63" t="str">
        <f t="shared" si="18"/>
        <v>S</v>
      </c>
      <c r="JP5" s="64" t="str">
        <f t="shared" si="18"/>
        <v>S</v>
      </c>
      <c r="JQ5" s="62" t="str">
        <f t="shared" si="18"/>
        <v>M</v>
      </c>
      <c r="JR5" s="63" t="str">
        <f t="shared" si="18"/>
        <v>T</v>
      </c>
      <c r="JS5" s="63" t="str">
        <f t="shared" si="18"/>
        <v>W</v>
      </c>
      <c r="JT5" s="63" t="str">
        <f t="shared" si="18"/>
        <v>T</v>
      </c>
      <c r="JU5" s="63" t="str">
        <f t="shared" si="18"/>
        <v>F</v>
      </c>
      <c r="JV5" s="63" t="str">
        <f t="shared" si="18"/>
        <v>S</v>
      </c>
      <c r="JW5" s="64" t="str">
        <f t="shared" si="18"/>
        <v>S</v>
      </c>
      <c r="JX5" s="62" t="str">
        <f t="shared" si="18"/>
        <v>M</v>
      </c>
      <c r="JY5" s="63" t="str">
        <f t="shared" si="18"/>
        <v>T</v>
      </c>
      <c r="JZ5" s="63" t="str">
        <f t="shared" si="18"/>
        <v>W</v>
      </c>
      <c r="KA5" s="63" t="str">
        <f t="shared" si="18"/>
        <v>T</v>
      </c>
      <c r="KB5" s="63" t="str">
        <f t="shared" si="18"/>
        <v>F</v>
      </c>
      <c r="KC5" s="63" t="str">
        <f t="shared" si="18"/>
        <v>S</v>
      </c>
      <c r="KD5" s="64" t="str">
        <f t="shared" si="18"/>
        <v>S</v>
      </c>
      <c r="KE5" s="62" t="str">
        <f t="shared" si="18"/>
        <v>M</v>
      </c>
      <c r="KF5" s="63" t="str">
        <f t="shared" si="18"/>
        <v>T</v>
      </c>
      <c r="KG5" s="63" t="str">
        <f t="shared" si="18"/>
        <v>W</v>
      </c>
      <c r="KH5" s="63" t="str">
        <f t="shared" si="18"/>
        <v>T</v>
      </c>
      <c r="KI5" s="63" t="str">
        <f t="shared" si="18"/>
        <v>F</v>
      </c>
      <c r="KJ5" s="63" t="str">
        <f t="shared" si="18"/>
        <v>S</v>
      </c>
      <c r="KK5" s="64" t="str">
        <f t="shared" si="18"/>
        <v>S</v>
      </c>
      <c r="KL5" s="62" t="str">
        <f t="shared" si="18"/>
        <v>M</v>
      </c>
      <c r="KM5" s="63" t="str">
        <f t="shared" si="18"/>
        <v>T</v>
      </c>
      <c r="KN5" s="63" t="str">
        <f t="shared" si="18"/>
        <v>W</v>
      </c>
      <c r="KO5" s="63" t="str">
        <f t="shared" si="18"/>
        <v>T</v>
      </c>
      <c r="KP5" s="63" t="str">
        <f t="shared" si="18"/>
        <v>F</v>
      </c>
      <c r="KQ5" s="63" t="str">
        <f t="shared" si="18"/>
        <v>S</v>
      </c>
      <c r="KR5" s="64" t="str">
        <f t="shared" si="18"/>
        <v>S</v>
      </c>
      <c r="KS5" s="62" t="str">
        <f t="shared" si="18"/>
        <v>M</v>
      </c>
      <c r="KT5" s="63" t="str">
        <f t="shared" si="18"/>
        <v>T</v>
      </c>
      <c r="KU5" s="63" t="str">
        <f t="shared" si="18"/>
        <v>W</v>
      </c>
      <c r="KV5" s="63" t="str">
        <f t="shared" si="18"/>
        <v>T</v>
      </c>
      <c r="KW5" s="63" t="str">
        <f t="shared" si="18"/>
        <v>F</v>
      </c>
      <c r="KX5" s="63" t="str">
        <f t="shared" si="18"/>
        <v>S</v>
      </c>
      <c r="KY5" s="64" t="str">
        <f t="shared" si="18"/>
        <v>S</v>
      </c>
      <c r="KZ5" s="62" t="str">
        <f t="shared" si="18"/>
        <v>M</v>
      </c>
      <c r="LA5" s="63" t="str">
        <f t="shared" si="18"/>
        <v>T</v>
      </c>
      <c r="LB5" s="63" t="str">
        <f t="shared" si="18"/>
        <v>W</v>
      </c>
      <c r="LC5" s="63" t="str">
        <f t="shared" si="18"/>
        <v>T</v>
      </c>
      <c r="LD5" s="63" t="str">
        <f t="shared" si="18"/>
        <v>F</v>
      </c>
      <c r="LE5" s="63" t="str">
        <f t="shared" si="18"/>
        <v>S</v>
      </c>
      <c r="LF5" s="64" t="str">
        <f t="shared" si="18"/>
        <v>S</v>
      </c>
      <c r="LG5" s="62" t="str">
        <f t="shared" si="18"/>
        <v>M</v>
      </c>
      <c r="LH5" s="63" t="str">
        <f t="shared" si="18"/>
        <v>T</v>
      </c>
      <c r="LI5" s="63" t="str">
        <f t="shared" si="18"/>
        <v>W</v>
      </c>
      <c r="LJ5" s="63" t="str">
        <f t="shared" si="18"/>
        <v>T</v>
      </c>
      <c r="LK5" s="63" t="str">
        <f t="shared" si="18"/>
        <v>F</v>
      </c>
      <c r="LL5" s="63" t="str">
        <f t="shared" si="18"/>
        <v>S</v>
      </c>
      <c r="LM5" s="64" t="str">
        <f t="shared" si="18"/>
        <v>S</v>
      </c>
      <c r="LN5" s="62" t="str">
        <f t="shared" si="18"/>
        <v>M</v>
      </c>
      <c r="LO5" s="63" t="str">
        <f t="shared" si="18"/>
        <v>T</v>
      </c>
      <c r="LP5" s="63" t="str">
        <f t="shared" si="18"/>
        <v>W</v>
      </c>
      <c r="LQ5" s="63" t="str">
        <f t="shared" si="18"/>
        <v>T</v>
      </c>
      <c r="LR5" s="63" t="str">
        <f t="shared" ref="LR5:OC5" si="19">CHOOSE(WEEKDAY(LR4,1),"S","M","T","W","T","F","S")</f>
        <v>F</v>
      </c>
      <c r="LS5" s="63" t="str">
        <f t="shared" si="19"/>
        <v>S</v>
      </c>
      <c r="LT5" s="64" t="str">
        <f t="shared" si="19"/>
        <v>S</v>
      </c>
      <c r="LU5" s="62" t="str">
        <f t="shared" si="19"/>
        <v>M</v>
      </c>
      <c r="LV5" s="63" t="str">
        <f t="shared" si="19"/>
        <v>T</v>
      </c>
      <c r="LW5" s="63" t="str">
        <f t="shared" si="19"/>
        <v>W</v>
      </c>
      <c r="LX5" s="63" t="str">
        <f t="shared" si="19"/>
        <v>T</v>
      </c>
      <c r="LY5" s="63" t="str">
        <f t="shared" si="19"/>
        <v>F</v>
      </c>
      <c r="LZ5" s="63" t="str">
        <f t="shared" si="19"/>
        <v>S</v>
      </c>
      <c r="MA5" s="64" t="str">
        <f t="shared" si="19"/>
        <v>S</v>
      </c>
      <c r="MB5" s="62" t="str">
        <f t="shared" si="19"/>
        <v>M</v>
      </c>
      <c r="MC5" s="63" t="str">
        <f t="shared" si="19"/>
        <v>T</v>
      </c>
      <c r="MD5" s="63" t="str">
        <f t="shared" si="19"/>
        <v>W</v>
      </c>
      <c r="ME5" s="63" t="str">
        <f t="shared" si="19"/>
        <v>T</v>
      </c>
      <c r="MF5" s="63" t="str">
        <f t="shared" si="19"/>
        <v>F</v>
      </c>
      <c r="MG5" s="63" t="str">
        <f t="shared" si="19"/>
        <v>S</v>
      </c>
      <c r="MH5" s="64" t="str">
        <f t="shared" si="19"/>
        <v>S</v>
      </c>
      <c r="MI5" s="62" t="str">
        <f t="shared" si="19"/>
        <v>M</v>
      </c>
      <c r="MJ5" s="63" t="str">
        <f t="shared" si="19"/>
        <v>T</v>
      </c>
      <c r="MK5" s="63" t="str">
        <f t="shared" si="19"/>
        <v>W</v>
      </c>
      <c r="ML5" s="63" t="str">
        <f t="shared" si="19"/>
        <v>T</v>
      </c>
      <c r="MM5" s="63" t="str">
        <f t="shared" si="19"/>
        <v>F</v>
      </c>
      <c r="MN5" s="63" t="str">
        <f t="shared" si="19"/>
        <v>S</v>
      </c>
      <c r="MO5" s="64" t="str">
        <f t="shared" si="19"/>
        <v>S</v>
      </c>
      <c r="MP5" s="62" t="str">
        <f t="shared" si="19"/>
        <v>M</v>
      </c>
      <c r="MQ5" s="63" t="str">
        <f t="shared" si="19"/>
        <v>T</v>
      </c>
      <c r="MR5" s="63" t="str">
        <f t="shared" si="19"/>
        <v>W</v>
      </c>
      <c r="MS5" s="63" t="str">
        <f t="shared" si="19"/>
        <v>T</v>
      </c>
      <c r="MT5" s="63" t="str">
        <f t="shared" si="19"/>
        <v>F</v>
      </c>
      <c r="MU5" s="63" t="str">
        <f t="shared" si="19"/>
        <v>S</v>
      </c>
      <c r="MV5" s="64" t="str">
        <f t="shared" si="19"/>
        <v>S</v>
      </c>
      <c r="MW5" s="62" t="str">
        <f t="shared" si="19"/>
        <v>M</v>
      </c>
      <c r="MX5" s="63" t="str">
        <f t="shared" si="19"/>
        <v>T</v>
      </c>
      <c r="MY5" s="63" t="str">
        <f t="shared" si="19"/>
        <v>W</v>
      </c>
      <c r="MZ5" s="63" t="str">
        <f t="shared" si="19"/>
        <v>T</v>
      </c>
      <c r="NA5" s="63" t="str">
        <f t="shared" si="19"/>
        <v>F</v>
      </c>
      <c r="NB5" s="63" t="str">
        <f t="shared" si="19"/>
        <v>S</v>
      </c>
      <c r="NC5" s="64" t="str">
        <f t="shared" si="19"/>
        <v>S</v>
      </c>
      <c r="ND5" s="62" t="str">
        <f t="shared" si="19"/>
        <v>M</v>
      </c>
      <c r="NE5" s="63" t="str">
        <f t="shared" si="19"/>
        <v>T</v>
      </c>
      <c r="NF5" s="63" t="str">
        <f t="shared" si="19"/>
        <v>W</v>
      </c>
      <c r="NG5" s="63" t="str">
        <f t="shared" si="19"/>
        <v>T</v>
      </c>
      <c r="NH5" s="63" t="str">
        <f t="shared" si="19"/>
        <v>F</v>
      </c>
      <c r="NI5" s="63" t="str">
        <f t="shared" si="19"/>
        <v>S</v>
      </c>
      <c r="NJ5" s="64" t="str">
        <f t="shared" si="19"/>
        <v>S</v>
      </c>
      <c r="NK5" s="62" t="str">
        <f t="shared" si="19"/>
        <v>M</v>
      </c>
      <c r="NL5" s="63" t="str">
        <f t="shared" si="19"/>
        <v>T</v>
      </c>
      <c r="NM5" s="63" t="str">
        <f t="shared" si="19"/>
        <v>W</v>
      </c>
      <c r="NN5" s="63" t="str">
        <f t="shared" si="19"/>
        <v>T</v>
      </c>
      <c r="NO5" s="63" t="str">
        <f t="shared" si="19"/>
        <v>F</v>
      </c>
      <c r="NP5" s="63" t="str">
        <f t="shared" si="19"/>
        <v>S</v>
      </c>
      <c r="NQ5" s="64" t="str">
        <f t="shared" si="19"/>
        <v>S</v>
      </c>
      <c r="NR5" s="62" t="str">
        <f t="shared" si="19"/>
        <v>M</v>
      </c>
      <c r="NS5" s="63" t="str">
        <f t="shared" si="19"/>
        <v>T</v>
      </c>
      <c r="NT5" s="63" t="str">
        <f t="shared" si="19"/>
        <v>W</v>
      </c>
      <c r="NU5" s="63" t="str">
        <f t="shared" si="19"/>
        <v>T</v>
      </c>
      <c r="NV5" s="63" t="str">
        <f t="shared" si="19"/>
        <v>F</v>
      </c>
      <c r="NW5" s="63" t="str">
        <f t="shared" si="19"/>
        <v>S</v>
      </c>
      <c r="NX5" s="64" t="str">
        <f t="shared" si="19"/>
        <v>S</v>
      </c>
      <c r="NY5" s="62" t="str">
        <f t="shared" si="19"/>
        <v>M</v>
      </c>
      <c r="NZ5" s="63" t="str">
        <f t="shared" si="19"/>
        <v>T</v>
      </c>
      <c r="OA5" s="63" t="str">
        <f t="shared" si="19"/>
        <v>W</v>
      </c>
      <c r="OB5" s="63" t="str">
        <f t="shared" si="19"/>
        <v>T</v>
      </c>
      <c r="OC5" s="63" t="str">
        <f t="shared" si="19"/>
        <v>F</v>
      </c>
      <c r="OD5" s="63" t="str">
        <f t="shared" ref="OD5:QO5" si="20">CHOOSE(WEEKDAY(OD4,1),"S","M","T","W","T","F","S")</f>
        <v>S</v>
      </c>
      <c r="OE5" s="64" t="str">
        <f t="shared" si="20"/>
        <v>S</v>
      </c>
      <c r="OF5" s="62" t="str">
        <f t="shared" si="20"/>
        <v>M</v>
      </c>
      <c r="OG5" s="63" t="str">
        <f t="shared" si="20"/>
        <v>T</v>
      </c>
      <c r="OH5" s="63" t="str">
        <f t="shared" si="20"/>
        <v>W</v>
      </c>
      <c r="OI5" s="63" t="str">
        <f t="shared" si="20"/>
        <v>T</v>
      </c>
      <c r="OJ5" s="63" t="str">
        <f t="shared" si="20"/>
        <v>F</v>
      </c>
      <c r="OK5" s="63" t="str">
        <f t="shared" si="20"/>
        <v>S</v>
      </c>
      <c r="OL5" s="64" t="str">
        <f t="shared" si="20"/>
        <v>S</v>
      </c>
      <c r="OM5" s="62" t="str">
        <f t="shared" si="20"/>
        <v>M</v>
      </c>
      <c r="ON5" s="63" t="str">
        <f t="shared" si="20"/>
        <v>T</v>
      </c>
      <c r="OO5" s="63" t="str">
        <f t="shared" si="20"/>
        <v>W</v>
      </c>
      <c r="OP5" s="63" t="str">
        <f t="shared" si="20"/>
        <v>T</v>
      </c>
      <c r="OQ5" s="63" t="str">
        <f t="shared" si="20"/>
        <v>F</v>
      </c>
      <c r="OR5" s="63" t="str">
        <f t="shared" si="20"/>
        <v>S</v>
      </c>
      <c r="OS5" s="64" t="str">
        <f t="shared" si="20"/>
        <v>S</v>
      </c>
      <c r="OT5" s="62" t="str">
        <f t="shared" si="20"/>
        <v>M</v>
      </c>
      <c r="OU5" s="63" t="str">
        <f t="shared" si="20"/>
        <v>T</v>
      </c>
      <c r="OV5" s="63" t="str">
        <f t="shared" si="20"/>
        <v>W</v>
      </c>
      <c r="OW5" s="63" t="str">
        <f t="shared" si="20"/>
        <v>T</v>
      </c>
      <c r="OX5" s="63" t="str">
        <f t="shared" si="20"/>
        <v>F</v>
      </c>
      <c r="OY5" s="63" t="str">
        <f t="shared" si="20"/>
        <v>S</v>
      </c>
      <c r="OZ5" s="64" t="str">
        <f t="shared" si="20"/>
        <v>S</v>
      </c>
      <c r="PA5" s="62" t="str">
        <f t="shared" si="20"/>
        <v>M</v>
      </c>
      <c r="PB5" s="63" t="str">
        <f t="shared" si="20"/>
        <v>T</v>
      </c>
      <c r="PC5" s="63" t="str">
        <f t="shared" si="20"/>
        <v>W</v>
      </c>
      <c r="PD5" s="63" t="str">
        <f t="shared" si="20"/>
        <v>T</v>
      </c>
      <c r="PE5" s="63" t="str">
        <f t="shared" si="20"/>
        <v>F</v>
      </c>
      <c r="PF5" s="63" t="str">
        <f t="shared" si="20"/>
        <v>S</v>
      </c>
      <c r="PG5" s="64" t="str">
        <f t="shared" si="20"/>
        <v>S</v>
      </c>
      <c r="PH5" s="62" t="str">
        <f t="shared" si="20"/>
        <v>M</v>
      </c>
      <c r="PI5" s="63" t="str">
        <f t="shared" si="20"/>
        <v>T</v>
      </c>
      <c r="PJ5" s="63" t="str">
        <f t="shared" si="20"/>
        <v>W</v>
      </c>
      <c r="PK5" s="63" t="str">
        <f t="shared" si="20"/>
        <v>T</v>
      </c>
      <c r="PL5" s="63" t="str">
        <f t="shared" si="20"/>
        <v>F</v>
      </c>
      <c r="PM5" s="63" t="str">
        <f t="shared" si="20"/>
        <v>S</v>
      </c>
      <c r="PN5" s="64" t="str">
        <f t="shared" si="20"/>
        <v>S</v>
      </c>
      <c r="PO5" s="62" t="str">
        <f t="shared" si="20"/>
        <v>M</v>
      </c>
      <c r="PP5" s="63" t="str">
        <f t="shared" si="20"/>
        <v>T</v>
      </c>
      <c r="PQ5" s="63" t="str">
        <f t="shared" si="20"/>
        <v>W</v>
      </c>
      <c r="PR5" s="63" t="str">
        <f t="shared" si="20"/>
        <v>T</v>
      </c>
      <c r="PS5" s="63" t="str">
        <f t="shared" si="20"/>
        <v>F</v>
      </c>
      <c r="PT5" s="63" t="str">
        <f t="shared" si="20"/>
        <v>S</v>
      </c>
      <c r="PU5" s="64" t="str">
        <f t="shared" si="20"/>
        <v>S</v>
      </c>
      <c r="PV5" s="62" t="str">
        <f t="shared" si="20"/>
        <v>M</v>
      </c>
      <c r="PW5" s="63" t="str">
        <f t="shared" si="20"/>
        <v>T</v>
      </c>
      <c r="PX5" s="63" t="str">
        <f t="shared" si="20"/>
        <v>W</v>
      </c>
      <c r="PY5" s="63" t="str">
        <f t="shared" si="20"/>
        <v>T</v>
      </c>
      <c r="PZ5" s="63" t="str">
        <f t="shared" si="20"/>
        <v>F</v>
      </c>
      <c r="QA5" s="63" t="str">
        <f t="shared" si="20"/>
        <v>S</v>
      </c>
      <c r="QB5" s="64" t="str">
        <f t="shared" si="20"/>
        <v>S</v>
      </c>
      <c r="QC5" s="62" t="str">
        <f t="shared" si="20"/>
        <v>M</v>
      </c>
      <c r="QD5" s="63" t="str">
        <f t="shared" si="20"/>
        <v>T</v>
      </c>
      <c r="QE5" s="63" t="str">
        <f t="shared" si="20"/>
        <v>W</v>
      </c>
      <c r="QF5" s="63" t="str">
        <f t="shared" si="20"/>
        <v>T</v>
      </c>
      <c r="QG5" s="63" t="str">
        <f t="shared" si="20"/>
        <v>F</v>
      </c>
      <c r="QH5" s="63" t="str">
        <f t="shared" si="20"/>
        <v>S</v>
      </c>
      <c r="QI5" s="64" t="str">
        <f t="shared" si="20"/>
        <v>S</v>
      </c>
      <c r="QJ5" s="62" t="str">
        <f t="shared" si="20"/>
        <v>M</v>
      </c>
      <c r="QK5" s="63" t="str">
        <f t="shared" si="20"/>
        <v>T</v>
      </c>
      <c r="QL5" s="63" t="str">
        <f t="shared" si="20"/>
        <v>W</v>
      </c>
      <c r="QM5" s="63" t="str">
        <f t="shared" si="20"/>
        <v>T</v>
      </c>
      <c r="QN5" s="63" t="str">
        <f t="shared" si="20"/>
        <v>F</v>
      </c>
      <c r="QO5" s="63" t="str">
        <f t="shared" si="20"/>
        <v>S</v>
      </c>
      <c r="QP5" s="64" t="str">
        <f t="shared" ref="QP5:TA5" si="21">CHOOSE(WEEKDAY(QP4,1),"S","M","T","W","T","F","S")</f>
        <v>S</v>
      </c>
      <c r="QQ5" s="62" t="str">
        <f t="shared" si="21"/>
        <v>M</v>
      </c>
      <c r="QR5" s="63" t="str">
        <f t="shared" si="21"/>
        <v>T</v>
      </c>
      <c r="QS5" s="63" t="str">
        <f t="shared" si="21"/>
        <v>W</v>
      </c>
      <c r="QT5" s="63" t="str">
        <f t="shared" si="21"/>
        <v>T</v>
      </c>
      <c r="QU5" s="63" t="str">
        <f t="shared" si="21"/>
        <v>F</v>
      </c>
      <c r="QV5" s="63" t="str">
        <f t="shared" si="21"/>
        <v>S</v>
      </c>
      <c r="QW5" s="64" t="str">
        <f t="shared" si="21"/>
        <v>S</v>
      </c>
      <c r="QX5" s="62" t="str">
        <f t="shared" si="21"/>
        <v>M</v>
      </c>
      <c r="QY5" s="63" t="str">
        <f t="shared" si="21"/>
        <v>T</v>
      </c>
      <c r="QZ5" s="63" t="str">
        <f t="shared" si="21"/>
        <v>W</v>
      </c>
      <c r="RA5" s="63" t="str">
        <f t="shared" si="21"/>
        <v>T</v>
      </c>
      <c r="RB5" s="63" t="str">
        <f t="shared" si="21"/>
        <v>F</v>
      </c>
      <c r="RC5" s="63" t="str">
        <f t="shared" si="21"/>
        <v>S</v>
      </c>
      <c r="RD5" s="64" t="str">
        <f t="shared" si="21"/>
        <v>S</v>
      </c>
      <c r="RE5" s="62" t="str">
        <f t="shared" si="21"/>
        <v>M</v>
      </c>
      <c r="RF5" s="63" t="str">
        <f t="shared" si="21"/>
        <v>T</v>
      </c>
      <c r="RG5" s="63" t="str">
        <f t="shared" si="21"/>
        <v>W</v>
      </c>
      <c r="RH5" s="63" t="str">
        <f t="shared" si="21"/>
        <v>T</v>
      </c>
      <c r="RI5" s="63" t="str">
        <f t="shared" si="21"/>
        <v>F</v>
      </c>
      <c r="RJ5" s="63" t="str">
        <f t="shared" si="21"/>
        <v>S</v>
      </c>
      <c r="RK5" s="64" t="str">
        <f t="shared" si="21"/>
        <v>S</v>
      </c>
      <c r="RL5" s="62" t="str">
        <f t="shared" si="21"/>
        <v>M</v>
      </c>
      <c r="RM5" s="63" t="str">
        <f t="shared" si="21"/>
        <v>T</v>
      </c>
      <c r="RN5" s="63" t="str">
        <f t="shared" si="21"/>
        <v>W</v>
      </c>
      <c r="RO5" s="63" t="str">
        <f t="shared" si="21"/>
        <v>T</v>
      </c>
      <c r="RP5" s="63" t="str">
        <f t="shared" si="21"/>
        <v>F</v>
      </c>
      <c r="RQ5" s="63" t="str">
        <f t="shared" si="21"/>
        <v>S</v>
      </c>
      <c r="RR5" s="64" t="str">
        <f t="shared" si="21"/>
        <v>S</v>
      </c>
      <c r="RS5" s="62" t="str">
        <f t="shared" si="21"/>
        <v>M</v>
      </c>
      <c r="RT5" s="63" t="str">
        <f t="shared" si="21"/>
        <v>T</v>
      </c>
      <c r="RU5" s="63" t="str">
        <f t="shared" si="21"/>
        <v>W</v>
      </c>
      <c r="RV5" s="63" t="str">
        <f t="shared" si="21"/>
        <v>T</v>
      </c>
      <c r="RW5" s="63" t="str">
        <f t="shared" si="21"/>
        <v>F</v>
      </c>
      <c r="RX5" s="63" t="str">
        <f t="shared" si="21"/>
        <v>S</v>
      </c>
      <c r="RY5" s="64" t="str">
        <f t="shared" si="21"/>
        <v>S</v>
      </c>
      <c r="RZ5" s="62" t="str">
        <f t="shared" si="21"/>
        <v>M</v>
      </c>
      <c r="SA5" s="63" t="str">
        <f t="shared" si="21"/>
        <v>T</v>
      </c>
      <c r="SB5" s="63" t="str">
        <f t="shared" si="21"/>
        <v>W</v>
      </c>
      <c r="SC5" s="63" t="str">
        <f t="shared" si="21"/>
        <v>T</v>
      </c>
      <c r="SD5" s="63" t="str">
        <f t="shared" si="21"/>
        <v>F</v>
      </c>
      <c r="SE5" s="63" t="str">
        <f t="shared" si="21"/>
        <v>S</v>
      </c>
      <c r="SF5" s="64" t="str">
        <f t="shared" si="21"/>
        <v>S</v>
      </c>
      <c r="SG5" s="62" t="str">
        <f t="shared" si="21"/>
        <v>M</v>
      </c>
      <c r="SH5" s="63" t="str">
        <f t="shared" si="21"/>
        <v>T</v>
      </c>
      <c r="SI5" s="63" t="str">
        <f t="shared" si="21"/>
        <v>W</v>
      </c>
      <c r="SJ5" s="63" t="str">
        <f t="shared" si="21"/>
        <v>T</v>
      </c>
      <c r="SK5" s="63" t="str">
        <f t="shared" si="21"/>
        <v>F</v>
      </c>
      <c r="SL5" s="63" t="str">
        <f t="shared" si="21"/>
        <v>S</v>
      </c>
      <c r="SM5" s="64" t="str">
        <f t="shared" si="21"/>
        <v>S</v>
      </c>
      <c r="SN5" s="62" t="str">
        <f t="shared" si="21"/>
        <v>M</v>
      </c>
      <c r="SO5" s="63" t="str">
        <f t="shared" si="21"/>
        <v>T</v>
      </c>
      <c r="SP5" s="63" t="str">
        <f t="shared" si="21"/>
        <v>W</v>
      </c>
      <c r="SQ5" s="63" t="str">
        <f t="shared" si="21"/>
        <v>T</v>
      </c>
      <c r="SR5" s="63" t="str">
        <f t="shared" si="21"/>
        <v>F</v>
      </c>
      <c r="SS5" s="63" t="str">
        <f t="shared" si="21"/>
        <v>S</v>
      </c>
      <c r="ST5" s="64" t="str">
        <f t="shared" si="21"/>
        <v>S</v>
      </c>
      <c r="SU5" s="62" t="str">
        <f t="shared" si="21"/>
        <v>M</v>
      </c>
      <c r="SV5" s="63" t="str">
        <f t="shared" si="21"/>
        <v>T</v>
      </c>
      <c r="SW5" s="63" t="str">
        <f t="shared" si="21"/>
        <v>W</v>
      </c>
      <c r="SX5" s="63" t="str">
        <f t="shared" si="21"/>
        <v>T</v>
      </c>
      <c r="SY5" s="63" t="str">
        <f t="shared" si="21"/>
        <v>F</v>
      </c>
      <c r="SZ5" s="63" t="str">
        <f t="shared" si="21"/>
        <v>S</v>
      </c>
      <c r="TA5" s="64" t="str">
        <f t="shared" si="21"/>
        <v>S</v>
      </c>
      <c r="TB5" s="62" t="str">
        <f t="shared" ref="TB5:VM5" si="22">CHOOSE(WEEKDAY(TB4,1),"S","M","T","W","T","F","S")</f>
        <v>M</v>
      </c>
      <c r="TC5" s="63" t="str">
        <f t="shared" si="22"/>
        <v>T</v>
      </c>
      <c r="TD5" s="63" t="str">
        <f t="shared" si="22"/>
        <v>W</v>
      </c>
      <c r="TE5" s="63" t="str">
        <f t="shared" si="22"/>
        <v>T</v>
      </c>
      <c r="TF5" s="63" t="str">
        <f t="shared" si="22"/>
        <v>F</v>
      </c>
      <c r="TG5" s="63" t="str">
        <f t="shared" si="22"/>
        <v>S</v>
      </c>
      <c r="TH5" s="64" t="str">
        <f t="shared" si="22"/>
        <v>S</v>
      </c>
      <c r="TI5" s="62" t="str">
        <f t="shared" si="22"/>
        <v>M</v>
      </c>
      <c r="TJ5" s="63" t="str">
        <f t="shared" si="22"/>
        <v>T</v>
      </c>
      <c r="TK5" s="63" t="str">
        <f t="shared" si="22"/>
        <v>W</v>
      </c>
      <c r="TL5" s="63" t="str">
        <f t="shared" si="22"/>
        <v>T</v>
      </c>
      <c r="TM5" s="63" t="str">
        <f t="shared" si="22"/>
        <v>F</v>
      </c>
      <c r="TN5" s="63" t="str">
        <f t="shared" si="22"/>
        <v>S</v>
      </c>
      <c r="TO5" s="64" t="str">
        <f t="shared" si="22"/>
        <v>S</v>
      </c>
      <c r="TP5" s="62" t="str">
        <f t="shared" si="22"/>
        <v>M</v>
      </c>
      <c r="TQ5" s="63" t="str">
        <f t="shared" si="22"/>
        <v>T</v>
      </c>
      <c r="TR5" s="63" t="str">
        <f t="shared" si="22"/>
        <v>W</v>
      </c>
      <c r="TS5" s="63" t="str">
        <f t="shared" si="22"/>
        <v>T</v>
      </c>
      <c r="TT5" s="63" t="str">
        <f t="shared" si="22"/>
        <v>F</v>
      </c>
      <c r="TU5" s="63" t="str">
        <f t="shared" si="22"/>
        <v>S</v>
      </c>
      <c r="TV5" s="64" t="str">
        <f t="shared" si="22"/>
        <v>S</v>
      </c>
      <c r="TW5" s="62" t="str">
        <f t="shared" si="22"/>
        <v>M</v>
      </c>
      <c r="TX5" s="63" t="str">
        <f t="shared" si="22"/>
        <v>T</v>
      </c>
      <c r="TY5" s="63" t="str">
        <f t="shared" si="22"/>
        <v>W</v>
      </c>
      <c r="TZ5" s="63" t="str">
        <f t="shared" si="22"/>
        <v>T</v>
      </c>
      <c r="UA5" s="63" t="str">
        <f t="shared" si="22"/>
        <v>F</v>
      </c>
      <c r="UB5" s="63" t="str">
        <f t="shared" si="22"/>
        <v>S</v>
      </c>
      <c r="UC5" s="64" t="str">
        <f t="shared" si="22"/>
        <v>S</v>
      </c>
      <c r="UD5" s="62" t="str">
        <f t="shared" si="22"/>
        <v>M</v>
      </c>
      <c r="UE5" s="63" t="str">
        <f t="shared" si="22"/>
        <v>T</v>
      </c>
      <c r="UF5" s="63" t="str">
        <f t="shared" si="22"/>
        <v>W</v>
      </c>
      <c r="UG5" s="63" t="str">
        <f t="shared" si="22"/>
        <v>T</v>
      </c>
      <c r="UH5" s="63" t="str">
        <f t="shared" si="22"/>
        <v>F</v>
      </c>
      <c r="UI5" s="63" t="str">
        <f t="shared" si="22"/>
        <v>S</v>
      </c>
      <c r="UJ5" s="64" t="str">
        <f t="shared" si="22"/>
        <v>S</v>
      </c>
      <c r="UK5" s="62" t="str">
        <f t="shared" si="22"/>
        <v>M</v>
      </c>
      <c r="UL5" s="63" t="str">
        <f t="shared" si="22"/>
        <v>T</v>
      </c>
      <c r="UM5" s="63" t="str">
        <f t="shared" si="22"/>
        <v>W</v>
      </c>
      <c r="UN5" s="63" t="str">
        <f t="shared" si="22"/>
        <v>T</v>
      </c>
      <c r="UO5" s="63" t="str">
        <f t="shared" si="22"/>
        <v>F</v>
      </c>
      <c r="UP5" s="63" t="str">
        <f t="shared" si="22"/>
        <v>S</v>
      </c>
      <c r="UQ5" s="64" t="str">
        <f t="shared" si="22"/>
        <v>S</v>
      </c>
      <c r="UR5" s="62" t="str">
        <f t="shared" si="22"/>
        <v>M</v>
      </c>
      <c r="US5" s="63" t="str">
        <f t="shared" si="22"/>
        <v>T</v>
      </c>
      <c r="UT5" s="63" t="str">
        <f t="shared" si="22"/>
        <v>W</v>
      </c>
      <c r="UU5" s="63" t="str">
        <f t="shared" si="22"/>
        <v>T</v>
      </c>
      <c r="UV5" s="63" t="str">
        <f t="shared" si="22"/>
        <v>F</v>
      </c>
      <c r="UW5" s="63" t="str">
        <f t="shared" si="22"/>
        <v>S</v>
      </c>
      <c r="UX5" s="64" t="str">
        <f t="shared" si="22"/>
        <v>S</v>
      </c>
      <c r="UY5" s="62" t="str">
        <f t="shared" si="22"/>
        <v>M</v>
      </c>
      <c r="UZ5" s="63" t="str">
        <f t="shared" si="22"/>
        <v>T</v>
      </c>
      <c r="VA5" s="63" t="str">
        <f t="shared" si="22"/>
        <v>W</v>
      </c>
      <c r="VB5" s="63" t="str">
        <f t="shared" si="22"/>
        <v>T</v>
      </c>
      <c r="VC5" s="63" t="str">
        <f t="shared" si="22"/>
        <v>F</v>
      </c>
      <c r="VD5" s="63" t="str">
        <f t="shared" si="22"/>
        <v>S</v>
      </c>
      <c r="VE5" s="64" t="str">
        <f t="shared" si="22"/>
        <v>S</v>
      </c>
      <c r="VF5" s="62" t="str">
        <f t="shared" si="22"/>
        <v>M</v>
      </c>
      <c r="VG5" s="63" t="str">
        <f t="shared" si="22"/>
        <v>T</v>
      </c>
      <c r="VH5" s="63" t="str">
        <f t="shared" si="22"/>
        <v>W</v>
      </c>
      <c r="VI5" s="63" t="str">
        <f t="shared" si="22"/>
        <v>T</v>
      </c>
      <c r="VJ5" s="63" t="str">
        <f t="shared" si="22"/>
        <v>F</v>
      </c>
      <c r="VK5" s="63" t="str">
        <f t="shared" si="22"/>
        <v>S</v>
      </c>
      <c r="VL5" s="64" t="str">
        <f t="shared" si="22"/>
        <v>S</v>
      </c>
      <c r="VM5" s="62" t="str">
        <f t="shared" si="22"/>
        <v>M</v>
      </c>
      <c r="VN5" s="63" t="str">
        <f t="shared" ref="VN5:XY5" si="23">CHOOSE(WEEKDAY(VN4,1),"S","M","T","W","T","F","S")</f>
        <v>T</v>
      </c>
      <c r="VO5" s="63" t="str">
        <f t="shared" si="23"/>
        <v>W</v>
      </c>
      <c r="VP5" s="63" t="str">
        <f t="shared" si="23"/>
        <v>T</v>
      </c>
      <c r="VQ5" s="63" t="str">
        <f t="shared" si="23"/>
        <v>F</v>
      </c>
      <c r="VR5" s="63" t="str">
        <f t="shared" si="23"/>
        <v>S</v>
      </c>
      <c r="VS5" s="64" t="str">
        <f t="shared" si="23"/>
        <v>S</v>
      </c>
      <c r="VT5" s="62" t="str">
        <f t="shared" si="23"/>
        <v>M</v>
      </c>
      <c r="VU5" s="63" t="str">
        <f t="shared" si="23"/>
        <v>T</v>
      </c>
      <c r="VV5" s="63" t="str">
        <f t="shared" si="23"/>
        <v>W</v>
      </c>
      <c r="VW5" s="63" t="str">
        <f t="shared" si="23"/>
        <v>T</v>
      </c>
      <c r="VX5" s="63" t="str">
        <f t="shared" si="23"/>
        <v>F</v>
      </c>
      <c r="VY5" s="63" t="str">
        <f t="shared" si="23"/>
        <v>S</v>
      </c>
      <c r="VZ5" s="64" t="str">
        <f t="shared" si="23"/>
        <v>S</v>
      </c>
      <c r="WA5" s="62" t="str">
        <f t="shared" si="23"/>
        <v>M</v>
      </c>
      <c r="WB5" s="63" t="str">
        <f t="shared" si="23"/>
        <v>T</v>
      </c>
      <c r="WC5" s="63" t="str">
        <f t="shared" si="23"/>
        <v>W</v>
      </c>
      <c r="WD5" s="63" t="str">
        <f t="shared" si="23"/>
        <v>T</v>
      </c>
      <c r="WE5" s="63" t="str">
        <f t="shared" si="23"/>
        <v>F</v>
      </c>
      <c r="WF5" s="63" t="str">
        <f t="shared" si="23"/>
        <v>S</v>
      </c>
      <c r="WG5" s="64" t="str">
        <f t="shared" si="23"/>
        <v>S</v>
      </c>
      <c r="WH5" s="62" t="str">
        <f t="shared" si="23"/>
        <v>M</v>
      </c>
      <c r="WI5" s="63" t="str">
        <f t="shared" si="23"/>
        <v>T</v>
      </c>
      <c r="WJ5" s="63" t="str">
        <f t="shared" si="23"/>
        <v>W</v>
      </c>
      <c r="WK5" s="63" t="str">
        <f t="shared" si="23"/>
        <v>T</v>
      </c>
      <c r="WL5" s="63" t="str">
        <f t="shared" si="23"/>
        <v>F</v>
      </c>
      <c r="WM5" s="63" t="str">
        <f t="shared" si="23"/>
        <v>S</v>
      </c>
      <c r="WN5" s="64" t="str">
        <f t="shared" si="23"/>
        <v>S</v>
      </c>
      <c r="WO5" s="62" t="str">
        <f t="shared" si="23"/>
        <v>M</v>
      </c>
      <c r="WP5" s="63" t="str">
        <f t="shared" si="23"/>
        <v>T</v>
      </c>
      <c r="WQ5" s="63" t="str">
        <f t="shared" si="23"/>
        <v>W</v>
      </c>
      <c r="WR5" s="63" t="str">
        <f t="shared" si="23"/>
        <v>T</v>
      </c>
      <c r="WS5" s="63" t="str">
        <f t="shared" si="23"/>
        <v>F</v>
      </c>
      <c r="WT5" s="63" t="str">
        <f t="shared" si="23"/>
        <v>S</v>
      </c>
      <c r="WU5" s="64" t="str">
        <f t="shared" si="23"/>
        <v>S</v>
      </c>
      <c r="WV5" s="62" t="str">
        <f t="shared" si="23"/>
        <v>M</v>
      </c>
      <c r="WW5" s="63" t="str">
        <f t="shared" si="23"/>
        <v>T</v>
      </c>
      <c r="WX5" s="63" t="str">
        <f t="shared" si="23"/>
        <v>W</v>
      </c>
      <c r="WY5" s="63" t="str">
        <f t="shared" si="23"/>
        <v>T</v>
      </c>
      <c r="WZ5" s="63" t="str">
        <f t="shared" si="23"/>
        <v>F</v>
      </c>
      <c r="XA5" s="63" t="str">
        <f t="shared" si="23"/>
        <v>S</v>
      </c>
      <c r="XB5" s="64" t="str">
        <f t="shared" si="23"/>
        <v>S</v>
      </c>
      <c r="XC5" s="62" t="str">
        <f t="shared" si="23"/>
        <v>M</v>
      </c>
      <c r="XD5" s="63" t="str">
        <f t="shared" si="23"/>
        <v>T</v>
      </c>
      <c r="XE5" s="63" t="str">
        <f t="shared" si="23"/>
        <v>W</v>
      </c>
      <c r="XF5" s="63" t="str">
        <f t="shared" si="23"/>
        <v>T</v>
      </c>
      <c r="XG5" s="63" t="str">
        <f t="shared" si="23"/>
        <v>F</v>
      </c>
      <c r="XH5" s="63" t="str">
        <f t="shared" si="23"/>
        <v>S</v>
      </c>
      <c r="XI5" s="64" t="str">
        <f t="shared" si="23"/>
        <v>S</v>
      </c>
      <c r="XJ5" s="62" t="str">
        <f t="shared" si="23"/>
        <v>M</v>
      </c>
      <c r="XK5" s="63" t="str">
        <f t="shared" si="23"/>
        <v>T</v>
      </c>
      <c r="XL5" s="63" t="str">
        <f t="shared" si="23"/>
        <v>W</v>
      </c>
      <c r="XM5" s="63" t="str">
        <f t="shared" si="23"/>
        <v>T</v>
      </c>
      <c r="XN5" s="63" t="str">
        <f t="shared" si="23"/>
        <v>F</v>
      </c>
      <c r="XO5" s="63" t="str">
        <f t="shared" si="23"/>
        <v>S</v>
      </c>
      <c r="XP5" s="64" t="str">
        <f t="shared" si="23"/>
        <v>S</v>
      </c>
      <c r="XQ5" s="62" t="str">
        <f t="shared" si="23"/>
        <v>M</v>
      </c>
      <c r="XR5" s="63" t="str">
        <f t="shared" si="23"/>
        <v>T</v>
      </c>
      <c r="XS5" s="63" t="str">
        <f t="shared" si="23"/>
        <v>W</v>
      </c>
      <c r="XT5" s="63" t="str">
        <f t="shared" si="23"/>
        <v>T</v>
      </c>
      <c r="XU5" s="63" t="str">
        <f t="shared" si="23"/>
        <v>F</v>
      </c>
      <c r="XV5" s="63" t="str">
        <f t="shared" si="23"/>
        <v>S</v>
      </c>
      <c r="XW5" s="64" t="str">
        <f t="shared" si="23"/>
        <v>S</v>
      </c>
      <c r="XX5" s="62" t="str">
        <f t="shared" si="23"/>
        <v>M</v>
      </c>
      <c r="XY5" s="63" t="str">
        <f t="shared" si="23"/>
        <v>T</v>
      </c>
      <c r="XZ5" s="63" t="str">
        <f t="shared" ref="XZ5:AAK5" si="24">CHOOSE(WEEKDAY(XZ4,1),"S","M","T","W","T","F","S")</f>
        <v>W</v>
      </c>
      <c r="YA5" s="63" t="str">
        <f t="shared" si="24"/>
        <v>T</v>
      </c>
      <c r="YB5" s="63" t="str">
        <f t="shared" si="24"/>
        <v>F</v>
      </c>
      <c r="YC5" s="63" t="str">
        <f t="shared" si="24"/>
        <v>S</v>
      </c>
      <c r="YD5" s="64" t="str">
        <f t="shared" si="24"/>
        <v>S</v>
      </c>
      <c r="YE5" s="62" t="str">
        <f t="shared" si="24"/>
        <v>M</v>
      </c>
      <c r="YF5" s="63" t="str">
        <f t="shared" si="24"/>
        <v>T</v>
      </c>
      <c r="YG5" s="63" t="str">
        <f t="shared" si="24"/>
        <v>W</v>
      </c>
      <c r="YH5" s="63" t="str">
        <f t="shared" si="24"/>
        <v>T</v>
      </c>
      <c r="YI5" s="63" t="str">
        <f t="shared" si="24"/>
        <v>F</v>
      </c>
      <c r="YJ5" s="63" t="str">
        <f t="shared" si="24"/>
        <v>S</v>
      </c>
      <c r="YK5" s="64" t="str">
        <f t="shared" si="24"/>
        <v>S</v>
      </c>
      <c r="YL5" s="62" t="str">
        <f t="shared" si="24"/>
        <v>M</v>
      </c>
      <c r="YM5" s="63" t="str">
        <f t="shared" si="24"/>
        <v>T</v>
      </c>
      <c r="YN5" s="63" t="str">
        <f t="shared" si="24"/>
        <v>W</v>
      </c>
      <c r="YO5" s="63" t="str">
        <f t="shared" si="24"/>
        <v>T</v>
      </c>
      <c r="YP5" s="63" t="str">
        <f t="shared" si="24"/>
        <v>F</v>
      </c>
      <c r="YQ5" s="63" t="str">
        <f t="shared" si="24"/>
        <v>S</v>
      </c>
      <c r="YR5" s="64" t="str">
        <f t="shared" si="24"/>
        <v>S</v>
      </c>
      <c r="YS5" s="62" t="str">
        <f t="shared" si="24"/>
        <v>M</v>
      </c>
      <c r="YT5" s="63" t="str">
        <f t="shared" si="24"/>
        <v>T</v>
      </c>
      <c r="YU5" s="63" t="str">
        <f t="shared" si="24"/>
        <v>W</v>
      </c>
      <c r="YV5" s="63" t="str">
        <f t="shared" si="24"/>
        <v>T</v>
      </c>
      <c r="YW5" s="63" t="str">
        <f t="shared" si="24"/>
        <v>F</v>
      </c>
      <c r="YX5" s="63" t="str">
        <f t="shared" si="24"/>
        <v>S</v>
      </c>
      <c r="YY5" s="64" t="str">
        <f t="shared" si="24"/>
        <v>S</v>
      </c>
      <c r="YZ5" s="62" t="str">
        <f t="shared" si="24"/>
        <v>M</v>
      </c>
      <c r="ZA5" s="63" t="str">
        <f t="shared" si="24"/>
        <v>T</v>
      </c>
      <c r="ZB5" s="63" t="str">
        <f t="shared" si="24"/>
        <v>W</v>
      </c>
      <c r="ZC5" s="63" t="str">
        <f t="shared" si="24"/>
        <v>T</v>
      </c>
      <c r="ZD5" s="63" t="str">
        <f t="shared" si="24"/>
        <v>F</v>
      </c>
      <c r="ZE5" s="63" t="str">
        <f t="shared" si="24"/>
        <v>S</v>
      </c>
      <c r="ZF5" s="64" t="str">
        <f t="shared" si="24"/>
        <v>S</v>
      </c>
      <c r="ZG5" s="62" t="str">
        <f t="shared" si="24"/>
        <v>M</v>
      </c>
      <c r="ZH5" s="63" t="str">
        <f t="shared" si="24"/>
        <v>T</v>
      </c>
      <c r="ZI5" s="63" t="str">
        <f t="shared" si="24"/>
        <v>W</v>
      </c>
      <c r="ZJ5" s="63" t="str">
        <f t="shared" si="24"/>
        <v>T</v>
      </c>
      <c r="ZK5" s="63" t="str">
        <f t="shared" si="24"/>
        <v>F</v>
      </c>
      <c r="ZL5" s="63" t="str">
        <f t="shared" si="24"/>
        <v>S</v>
      </c>
      <c r="ZM5" s="64" t="str">
        <f t="shared" si="24"/>
        <v>S</v>
      </c>
      <c r="ZN5" s="62" t="str">
        <f t="shared" si="24"/>
        <v>M</v>
      </c>
      <c r="ZO5" s="63" t="str">
        <f t="shared" si="24"/>
        <v>T</v>
      </c>
      <c r="ZP5" s="63" t="str">
        <f t="shared" si="24"/>
        <v>W</v>
      </c>
      <c r="ZQ5" s="63" t="str">
        <f t="shared" si="24"/>
        <v>T</v>
      </c>
      <c r="ZR5" s="63" t="str">
        <f t="shared" si="24"/>
        <v>F</v>
      </c>
      <c r="ZS5" s="63" t="str">
        <f t="shared" si="24"/>
        <v>S</v>
      </c>
      <c r="ZT5" s="64" t="str">
        <f t="shared" si="24"/>
        <v>S</v>
      </c>
      <c r="ZU5" s="62" t="str">
        <f t="shared" si="24"/>
        <v>M</v>
      </c>
      <c r="ZV5" s="63" t="str">
        <f t="shared" si="24"/>
        <v>T</v>
      </c>
      <c r="ZW5" s="63" t="str">
        <f t="shared" si="24"/>
        <v>W</v>
      </c>
      <c r="ZX5" s="63" t="str">
        <f t="shared" si="24"/>
        <v>T</v>
      </c>
      <c r="ZY5" s="63" t="str">
        <f t="shared" si="24"/>
        <v>F</v>
      </c>
      <c r="ZZ5" s="63" t="str">
        <f t="shared" si="24"/>
        <v>S</v>
      </c>
      <c r="AAA5" s="64" t="str">
        <f t="shared" si="24"/>
        <v>S</v>
      </c>
      <c r="AAB5" s="62" t="str">
        <f t="shared" si="24"/>
        <v>M</v>
      </c>
      <c r="AAC5" s="63" t="str">
        <f t="shared" si="24"/>
        <v>T</v>
      </c>
      <c r="AAD5" s="63" t="str">
        <f t="shared" si="24"/>
        <v>W</v>
      </c>
      <c r="AAE5" s="63" t="str">
        <f t="shared" si="24"/>
        <v>T</v>
      </c>
      <c r="AAF5" s="63" t="str">
        <f t="shared" si="24"/>
        <v>F</v>
      </c>
      <c r="AAG5" s="63" t="str">
        <f t="shared" si="24"/>
        <v>S</v>
      </c>
      <c r="AAH5" s="64" t="str">
        <f t="shared" si="24"/>
        <v>S</v>
      </c>
      <c r="AAI5" s="62" t="str">
        <f t="shared" si="24"/>
        <v>M</v>
      </c>
      <c r="AAJ5" s="63" t="str">
        <f t="shared" si="24"/>
        <v>T</v>
      </c>
      <c r="AAK5" s="63" t="str">
        <f t="shared" si="24"/>
        <v>W</v>
      </c>
      <c r="AAL5" s="63" t="str">
        <f t="shared" ref="AAL5:ACW5" si="25">CHOOSE(WEEKDAY(AAL4,1),"S","M","T","W","T","F","S")</f>
        <v>T</v>
      </c>
      <c r="AAM5" s="63" t="str">
        <f t="shared" si="25"/>
        <v>F</v>
      </c>
      <c r="AAN5" s="63" t="str">
        <f t="shared" si="25"/>
        <v>S</v>
      </c>
      <c r="AAO5" s="64" t="str">
        <f t="shared" si="25"/>
        <v>S</v>
      </c>
      <c r="AAP5" s="62" t="str">
        <f t="shared" si="25"/>
        <v>M</v>
      </c>
      <c r="AAQ5" s="63" t="str">
        <f t="shared" si="25"/>
        <v>T</v>
      </c>
      <c r="AAR5" s="63" t="str">
        <f t="shared" si="25"/>
        <v>W</v>
      </c>
      <c r="AAS5" s="63" t="str">
        <f t="shared" si="25"/>
        <v>T</v>
      </c>
      <c r="AAT5" s="63" t="str">
        <f t="shared" si="25"/>
        <v>F</v>
      </c>
      <c r="AAU5" s="63" t="str">
        <f t="shared" si="25"/>
        <v>S</v>
      </c>
      <c r="AAV5" s="64" t="str">
        <f t="shared" si="25"/>
        <v>S</v>
      </c>
      <c r="AAW5" s="62" t="str">
        <f t="shared" si="25"/>
        <v>M</v>
      </c>
      <c r="AAX5" s="63" t="str">
        <f t="shared" si="25"/>
        <v>T</v>
      </c>
      <c r="AAY5" s="63" t="str">
        <f t="shared" si="25"/>
        <v>W</v>
      </c>
      <c r="AAZ5" s="63" t="str">
        <f t="shared" si="25"/>
        <v>T</v>
      </c>
      <c r="ABA5" s="63" t="str">
        <f t="shared" si="25"/>
        <v>F</v>
      </c>
      <c r="ABB5" s="63" t="str">
        <f t="shared" si="25"/>
        <v>S</v>
      </c>
      <c r="ABC5" s="64" t="str">
        <f t="shared" si="25"/>
        <v>S</v>
      </c>
      <c r="ABD5" s="62" t="str">
        <f t="shared" si="25"/>
        <v>M</v>
      </c>
      <c r="ABE5" s="63" t="str">
        <f t="shared" si="25"/>
        <v>T</v>
      </c>
      <c r="ABF5" s="63" t="str">
        <f t="shared" si="25"/>
        <v>W</v>
      </c>
      <c r="ABG5" s="63" t="str">
        <f t="shared" si="25"/>
        <v>T</v>
      </c>
      <c r="ABH5" s="63" t="str">
        <f t="shared" si="25"/>
        <v>F</v>
      </c>
      <c r="ABI5" s="63" t="str">
        <f t="shared" si="25"/>
        <v>S</v>
      </c>
      <c r="ABJ5" s="64" t="str">
        <f t="shared" si="25"/>
        <v>S</v>
      </c>
      <c r="ABK5" s="62" t="str">
        <f t="shared" si="25"/>
        <v>M</v>
      </c>
      <c r="ABL5" s="63" t="str">
        <f t="shared" si="25"/>
        <v>T</v>
      </c>
      <c r="ABM5" s="63" t="str">
        <f t="shared" si="25"/>
        <v>W</v>
      </c>
      <c r="ABN5" s="63" t="str">
        <f t="shared" si="25"/>
        <v>T</v>
      </c>
      <c r="ABO5" s="63" t="str">
        <f t="shared" si="25"/>
        <v>F</v>
      </c>
      <c r="ABP5" s="63" t="str">
        <f t="shared" si="25"/>
        <v>S</v>
      </c>
      <c r="ABQ5" s="64" t="str">
        <f t="shared" si="25"/>
        <v>S</v>
      </c>
      <c r="ABR5" s="62" t="str">
        <f t="shared" si="25"/>
        <v>M</v>
      </c>
      <c r="ABS5" s="63" t="str">
        <f t="shared" si="25"/>
        <v>T</v>
      </c>
      <c r="ABT5" s="63" t="str">
        <f t="shared" si="25"/>
        <v>W</v>
      </c>
      <c r="ABU5" s="63" t="str">
        <f t="shared" si="25"/>
        <v>T</v>
      </c>
      <c r="ABV5" s="63" t="str">
        <f t="shared" si="25"/>
        <v>F</v>
      </c>
      <c r="ABW5" s="63" t="str">
        <f t="shared" si="25"/>
        <v>S</v>
      </c>
      <c r="ABX5" s="64" t="str">
        <f t="shared" si="25"/>
        <v>S</v>
      </c>
      <c r="ABY5" s="62" t="str">
        <f t="shared" si="25"/>
        <v>M</v>
      </c>
      <c r="ABZ5" s="63" t="str">
        <f t="shared" si="25"/>
        <v>T</v>
      </c>
      <c r="ACA5" s="63" t="str">
        <f t="shared" si="25"/>
        <v>W</v>
      </c>
      <c r="ACB5" s="63" t="str">
        <f t="shared" si="25"/>
        <v>T</v>
      </c>
      <c r="ACC5" s="63" t="str">
        <f t="shared" si="25"/>
        <v>F</v>
      </c>
      <c r="ACD5" s="63" t="str">
        <f t="shared" si="25"/>
        <v>S</v>
      </c>
      <c r="ACE5" s="64" t="str">
        <f t="shared" si="25"/>
        <v>S</v>
      </c>
      <c r="ACF5" s="62" t="str">
        <f t="shared" si="25"/>
        <v>M</v>
      </c>
      <c r="ACG5" s="63" t="str">
        <f t="shared" si="25"/>
        <v>T</v>
      </c>
      <c r="ACH5" s="63" t="str">
        <f t="shared" si="25"/>
        <v>W</v>
      </c>
      <c r="ACI5" s="63" t="str">
        <f t="shared" si="25"/>
        <v>T</v>
      </c>
      <c r="ACJ5" s="63" t="str">
        <f t="shared" si="25"/>
        <v>F</v>
      </c>
      <c r="ACK5" s="63" t="str">
        <f t="shared" si="25"/>
        <v>S</v>
      </c>
      <c r="ACL5" s="64" t="str">
        <f t="shared" si="25"/>
        <v>S</v>
      </c>
      <c r="ACM5" s="62" t="str">
        <f t="shared" si="25"/>
        <v>M</v>
      </c>
      <c r="ACN5" s="63" t="str">
        <f t="shared" si="25"/>
        <v>T</v>
      </c>
      <c r="ACO5" s="63" t="str">
        <f t="shared" si="25"/>
        <v>W</v>
      </c>
      <c r="ACP5" s="63" t="str">
        <f t="shared" si="25"/>
        <v>T</v>
      </c>
      <c r="ACQ5" s="63" t="str">
        <f t="shared" si="25"/>
        <v>F</v>
      </c>
      <c r="ACR5" s="63" t="str">
        <f t="shared" si="25"/>
        <v>S</v>
      </c>
      <c r="ACS5" s="64" t="str">
        <f t="shared" si="25"/>
        <v>S</v>
      </c>
      <c r="ACT5" s="62" t="str">
        <f t="shared" si="25"/>
        <v>M</v>
      </c>
      <c r="ACU5" s="63" t="str">
        <f t="shared" si="25"/>
        <v>T</v>
      </c>
      <c r="ACV5" s="63" t="str">
        <f t="shared" si="25"/>
        <v>W</v>
      </c>
      <c r="ACW5" s="63" t="str">
        <f t="shared" si="25"/>
        <v>T</v>
      </c>
      <c r="ACX5" s="63" t="str">
        <f t="shared" ref="ACX5:AFD5" si="26">CHOOSE(WEEKDAY(ACX4,1),"S","M","T","W","T","F","S")</f>
        <v>F</v>
      </c>
      <c r="ACY5" s="63" t="str">
        <f t="shared" si="26"/>
        <v>S</v>
      </c>
      <c r="ACZ5" s="64" t="str">
        <f t="shared" si="26"/>
        <v>S</v>
      </c>
      <c r="ADA5" s="62" t="str">
        <f t="shared" si="26"/>
        <v>M</v>
      </c>
      <c r="ADB5" s="63" t="str">
        <f t="shared" si="26"/>
        <v>T</v>
      </c>
      <c r="ADC5" s="63" t="str">
        <f t="shared" si="26"/>
        <v>W</v>
      </c>
      <c r="ADD5" s="63" t="str">
        <f t="shared" si="26"/>
        <v>T</v>
      </c>
      <c r="ADE5" s="63" t="str">
        <f t="shared" si="26"/>
        <v>F</v>
      </c>
      <c r="ADF5" s="63" t="str">
        <f t="shared" si="26"/>
        <v>S</v>
      </c>
      <c r="ADG5" s="64" t="str">
        <f t="shared" si="26"/>
        <v>S</v>
      </c>
      <c r="ADH5" s="62" t="str">
        <f t="shared" si="26"/>
        <v>M</v>
      </c>
      <c r="ADI5" s="63" t="str">
        <f t="shared" si="26"/>
        <v>T</v>
      </c>
      <c r="ADJ5" s="63" t="str">
        <f t="shared" si="26"/>
        <v>W</v>
      </c>
      <c r="ADK5" s="63" t="str">
        <f t="shared" si="26"/>
        <v>T</v>
      </c>
      <c r="ADL5" s="63" t="str">
        <f t="shared" si="26"/>
        <v>F</v>
      </c>
      <c r="ADM5" s="63" t="str">
        <f t="shared" si="26"/>
        <v>S</v>
      </c>
      <c r="ADN5" s="64" t="str">
        <f t="shared" si="26"/>
        <v>S</v>
      </c>
      <c r="ADO5" s="62" t="str">
        <f t="shared" si="26"/>
        <v>M</v>
      </c>
      <c r="ADP5" s="63" t="str">
        <f t="shared" si="26"/>
        <v>T</v>
      </c>
      <c r="ADQ5" s="63" t="str">
        <f t="shared" si="26"/>
        <v>W</v>
      </c>
      <c r="ADR5" s="63" t="str">
        <f t="shared" si="26"/>
        <v>T</v>
      </c>
      <c r="ADS5" s="63" t="str">
        <f t="shared" si="26"/>
        <v>F</v>
      </c>
      <c r="ADT5" s="63" t="str">
        <f t="shared" si="26"/>
        <v>S</v>
      </c>
      <c r="ADU5" s="64" t="str">
        <f t="shared" si="26"/>
        <v>S</v>
      </c>
      <c r="ADV5" s="62" t="str">
        <f t="shared" si="26"/>
        <v>M</v>
      </c>
      <c r="ADW5" s="63" t="str">
        <f t="shared" si="26"/>
        <v>T</v>
      </c>
      <c r="ADX5" s="63" t="str">
        <f t="shared" si="26"/>
        <v>W</v>
      </c>
      <c r="ADY5" s="63" t="str">
        <f t="shared" si="26"/>
        <v>T</v>
      </c>
      <c r="ADZ5" s="63" t="str">
        <f t="shared" si="26"/>
        <v>F</v>
      </c>
      <c r="AEA5" s="63" t="str">
        <f t="shared" si="26"/>
        <v>S</v>
      </c>
      <c r="AEB5" s="64" t="str">
        <f t="shared" si="26"/>
        <v>S</v>
      </c>
      <c r="AEC5" s="62" t="str">
        <f t="shared" si="26"/>
        <v>M</v>
      </c>
      <c r="AED5" s="63" t="str">
        <f t="shared" si="26"/>
        <v>T</v>
      </c>
      <c r="AEE5" s="63" t="str">
        <f t="shared" si="26"/>
        <v>W</v>
      </c>
      <c r="AEF5" s="63" t="str">
        <f t="shared" si="26"/>
        <v>T</v>
      </c>
      <c r="AEG5" s="63" t="str">
        <f t="shared" si="26"/>
        <v>F</v>
      </c>
      <c r="AEH5" s="63" t="str">
        <f t="shared" si="26"/>
        <v>S</v>
      </c>
      <c r="AEI5" s="64" t="str">
        <f t="shared" si="26"/>
        <v>S</v>
      </c>
      <c r="AEJ5" s="62" t="str">
        <f t="shared" si="26"/>
        <v>M</v>
      </c>
      <c r="AEK5" s="63" t="str">
        <f t="shared" si="26"/>
        <v>T</v>
      </c>
      <c r="AEL5" s="63" t="str">
        <f t="shared" si="26"/>
        <v>W</v>
      </c>
      <c r="AEM5" s="63" t="str">
        <f t="shared" si="26"/>
        <v>T</v>
      </c>
      <c r="AEN5" s="63" t="str">
        <f t="shared" si="26"/>
        <v>F</v>
      </c>
      <c r="AEO5" s="63" t="str">
        <f t="shared" si="26"/>
        <v>S</v>
      </c>
      <c r="AEP5" s="64" t="str">
        <f t="shared" si="26"/>
        <v>S</v>
      </c>
      <c r="AEQ5" s="62" t="str">
        <f t="shared" si="26"/>
        <v>M</v>
      </c>
      <c r="AER5" s="63" t="str">
        <f t="shared" si="26"/>
        <v>T</v>
      </c>
      <c r="AES5" s="63" t="str">
        <f t="shared" si="26"/>
        <v>W</v>
      </c>
      <c r="AET5" s="63" t="str">
        <f t="shared" si="26"/>
        <v>T</v>
      </c>
      <c r="AEU5" s="63" t="str">
        <f t="shared" si="26"/>
        <v>F</v>
      </c>
      <c r="AEV5" s="63" t="str">
        <f t="shared" si="26"/>
        <v>S</v>
      </c>
      <c r="AEW5" s="64" t="str">
        <f t="shared" si="26"/>
        <v>S</v>
      </c>
      <c r="AEX5" s="62" t="str">
        <f t="shared" si="26"/>
        <v>M</v>
      </c>
      <c r="AEY5" s="63" t="str">
        <f t="shared" si="26"/>
        <v>T</v>
      </c>
      <c r="AEZ5" s="63" t="str">
        <f t="shared" si="26"/>
        <v>W</v>
      </c>
      <c r="AFA5" s="63" t="str">
        <f t="shared" si="26"/>
        <v>T</v>
      </c>
      <c r="AFB5" s="63" t="str">
        <f t="shared" si="26"/>
        <v>F</v>
      </c>
      <c r="AFC5" s="63" t="str">
        <f t="shared" si="26"/>
        <v>S</v>
      </c>
      <c r="AFD5" s="64" t="str">
        <f t="shared" si="26"/>
        <v>S</v>
      </c>
    </row>
    <row r="6" spans="1:836" s="75" customFormat="1" ht="70" customHeight="1" x14ac:dyDescent="0.5">
      <c r="A6" s="65" t="str">
        <f>IF(ISERROR(VALUE(SUBSTITUTE(prevWBS,".",""))),"1",IF(ISERROR(FIND("`",SUBSTITUTE(prevWBS,".","`",1))),TEXT(VALUE(prevWBS)+1,"#"),TEXT(VALUE(LEFT(prevWBS,FIND("`",SUBSTITUTE(prevWBS,".","`",1))-1))+1,"#")))</f>
        <v>1</v>
      </c>
      <c r="B6" s="99" t="s">
        <v>14</v>
      </c>
      <c r="C6" s="66"/>
      <c r="D6" s="67"/>
      <c r="E6" s="68"/>
      <c r="F6" s="69" t="str">
        <f t="shared" ref="F6:F11" si="27">IF(ISBLANK(E6)," - ",IF(G6=0,E6,E6+G6-1))</f>
        <v xml:space="preserve"> - </v>
      </c>
      <c r="G6" s="70"/>
      <c r="H6" s="71"/>
      <c r="I6" s="72" t="str">
        <f>IF(OR(F6=0,E6=0)," - ",NETWORKDAYS(E6,F6))</f>
        <v xml:space="preserve"> - </v>
      </c>
      <c r="J6" s="73"/>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c r="LZ6" s="74"/>
      <c r="MA6" s="74"/>
      <c r="MB6" s="74"/>
      <c r="MC6" s="74"/>
      <c r="MD6" s="74"/>
      <c r="ME6" s="74"/>
      <c r="MF6" s="74"/>
      <c r="MG6" s="74"/>
      <c r="MH6" s="74"/>
      <c r="MI6" s="74"/>
      <c r="MJ6" s="74"/>
      <c r="MK6" s="74"/>
      <c r="ML6" s="74"/>
      <c r="MM6" s="74"/>
      <c r="MN6" s="74"/>
      <c r="MO6" s="74"/>
      <c r="MP6" s="74"/>
      <c r="MQ6" s="74"/>
      <c r="MR6" s="74"/>
      <c r="MS6" s="74"/>
      <c r="MT6" s="74"/>
      <c r="MU6" s="74"/>
      <c r="MV6" s="74"/>
      <c r="MW6" s="74"/>
      <c r="MX6" s="74"/>
      <c r="MY6" s="74"/>
      <c r="MZ6" s="74"/>
      <c r="NA6" s="74"/>
      <c r="NB6" s="74"/>
      <c r="NC6" s="74"/>
      <c r="ND6" s="74"/>
      <c r="NE6" s="74"/>
      <c r="NF6" s="74"/>
      <c r="NG6" s="74"/>
      <c r="NH6" s="74"/>
      <c r="NI6" s="74"/>
      <c r="NJ6" s="74"/>
      <c r="NK6" s="74"/>
      <c r="NL6" s="74"/>
      <c r="NM6" s="74"/>
      <c r="NN6" s="74"/>
      <c r="NO6" s="74"/>
      <c r="NP6" s="74"/>
      <c r="NQ6" s="74"/>
      <c r="NR6" s="74"/>
      <c r="NS6" s="74"/>
      <c r="NT6" s="74"/>
      <c r="NU6" s="74"/>
      <c r="NV6" s="74"/>
      <c r="NW6" s="74"/>
      <c r="NX6" s="74"/>
      <c r="NY6" s="74"/>
      <c r="NZ6" s="74"/>
      <c r="OA6" s="74"/>
      <c r="OB6" s="74"/>
      <c r="OC6" s="74"/>
      <c r="OD6" s="74"/>
      <c r="OE6" s="74"/>
      <c r="OF6" s="74"/>
      <c r="OG6" s="74"/>
      <c r="OH6" s="74"/>
      <c r="OI6" s="74"/>
      <c r="OJ6" s="74"/>
      <c r="OK6" s="74"/>
      <c r="OL6" s="74"/>
      <c r="OM6" s="74"/>
      <c r="ON6" s="74"/>
      <c r="OO6" s="74"/>
      <c r="OP6" s="74"/>
      <c r="OQ6" s="74"/>
      <c r="OR6" s="74"/>
      <c r="OS6" s="74"/>
      <c r="OT6" s="74"/>
      <c r="OU6" s="74"/>
      <c r="OV6" s="74"/>
      <c r="OW6" s="74"/>
      <c r="OX6" s="74"/>
      <c r="OY6" s="74"/>
      <c r="OZ6" s="74"/>
      <c r="PA6" s="74"/>
      <c r="PB6" s="74"/>
      <c r="PC6" s="74"/>
      <c r="PD6" s="74"/>
      <c r="PE6" s="74"/>
      <c r="PF6" s="74"/>
      <c r="PG6" s="74"/>
      <c r="PH6" s="74"/>
      <c r="PI6" s="74"/>
      <c r="PJ6" s="74"/>
      <c r="PK6" s="74"/>
      <c r="PL6" s="74"/>
      <c r="PM6" s="74"/>
      <c r="PN6" s="74"/>
      <c r="PO6" s="74"/>
      <c r="PP6" s="74"/>
      <c r="PQ6" s="74"/>
      <c r="PR6" s="74"/>
      <c r="PS6" s="74"/>
      <c r="PT6" s="74"/>
      <c r="PU6" s="74"/>
      <c r="PV6" s="74"/>
      <c r="PW6" s="74"/>
      <c r="PX6" s="74"/>
      <c r="PY6" s="74"/>
      <c r="PZ6" s="74"/>
      <c r="QA6" s="74"/>
      <c r="QB6" s="74"/>
      <c r="QC6" s="74"/>
      <c r="QD6" s="74"/>
      <c r="QE6" s="74"/>
      <c r="QF6" s="74"/>
      <c r="QG6" s="74"/>
      <c r="QH6" s="74"/>
      <c r="QI6" s="74"/>
      <c r="QJ6" s="74"/>
      <c r="QK6" s="74"/>
      <c r="QL6" s="74"/>
      <c r="QM6" s="74"/>
      <c r="QN6" s="74"/>
      <c r="QO6" s="74"/>
      <c r="QP6" s="74"/>
      <c r="QQ6" s="74"/>
      <c r="QR6" s="74"/>
      <c r="QS6" s="74"/>
      <c r="QT6" s="74"/>
      <c r="QU6" s="74"/>
      <c r="QV6" s="74"/>
      <c r="QW6" s="74"/>
      <c r="QX6" s="74"/>
      <c r="QY6" s="74"/>
      <c r="QZ6" s="74"/>
      <c r="RA6" s="74"/>
      <c r="RB6" s="74"/>
      <c r="RC6" s="74"/>
      <c r="RD6" s="74"/>
      <c r="RE6" s="74"/>
      <c r="RF6" s="74"/>
      <c r="RG6" s="74"/>
      <c r="RH6" s="74"/>
      <c r="RI6" s="74"/>
      <c r="RJ6" s="74"/>
      <c r="RK6" s="74"/>
      <c r="RL6" s="74"/>
      <c r="RM6" s="74"/>
      <c r="RN6" s="74"/>
      <c r="RO6" s="74"/>
      <c r="RP6" s="74"/>
      <c r="RQ6" s="74"/>
      <c r="RR6" s="74"/>
      <c r="RS6" s="74"/>
      <c r="RT6" s="74"/>
      <c r="RU6" s="74"/>
      <c r="RV6" s="74"/>
      <c r="RW6" s="74"/>
      <c r="RX6" s="74"/>
      <c r="RY6" s="74"/>
      <c r="RZ6" s="74"/>
      <c r="SA6" s="74"/>
      <c r="SB6" s="74"/>
      <c r="SC6" s="74"/>
      <c r="SD6" s="74"/>
      <c r="SE6" s="74"/>
      <c r="SF6" s="74"/>
      <c r="SG6" s="74"/>
      <c r="SH6" s="74"/>
      <c r="SI6" s="74"/>
      <c r="SJ6" s="74"/>
      <c r="SK6" s="74"/>
      <c r="SL6" s="74"/>
      <c r="SM6" s="74"/>
      <c r="SN6" s="74"/>
      <c r="SO6" s="74"/>
      <c r="SP6" s="74"/>
      <c r="SQ6" s="74"/>
      <c r="SR6" s="74"/>
      <c r="SS6" s="74"/>
      <c r="ST6" s="74"/>
      <c r="SU6" s="74"/>
      <c r="SV6" s="74"/>
      <c r="SW6" s="74"/>
      <c r="SX6" s="74"/>
      <c r="SY6" s="74"/>
      <c r="SZ6" s="74"/>
      <c r="TA6" s="74"/>
      <c r="TB6" s="74"/>
      <c r="TC6" s="74"/>
      <c r="TD6" s="74"/>
      <c r="TE6" s="74"/>
      <c r="TF6" s="74"/>
      <c r="TG6" s="74"/>
      <c r="TH6" s="74"/>
      <c r="TI6" s="74"/>
      <c r="TJ6" s="74"/>
      <c r="TK6" s="74"/>
      <c r="TL6" s="74"/>
      <c r="TM6" s="74"/>
      <c r="TN6" s="74"/>
      <c r="TO6" s="74"/>
      <c r="TP6" s="74"/>
      <c r="TQ6" s="74"/>
      <c r="TR6" s="74"/>
      <c r="TS6" s="74"/>
      <c r="TT6" s="74"/>
      <c r="TU6" s="74"/>
      <c r="TV6" s="74"/>
      <c r="TW6" s="74"/>
      <c r="TX6" s="74"/>
      <c r="TY6" s="74"/>
      <c r="TZ6" s="74"/>
      <c r="UA6" s="74"/>
      <c r="UB6" s="74"/>
      <c r="UC6" s="74"/>
      <c r="UD6" s="74"/>
      <c r="UE6" s="74"/>
      <c r="UF6" s="74"/>
      <c r="UG6" s="74"/>
      <c r="UH6" s="74"/>
      <c r="UI6" s="74"/>
      <c r="UJ6" s="74"/>
      <c r="UK6" s="74"/>
      <c r="UL6" s="74"/>
      <c r="UM6" s="74"/>
      <c r="UN6" s="74"/>
      <c r="UO6" s="74"/>
      <c r="UP6" s="74"/>
      <c r="UQ6" s="74"/>
      <c r="UR6" s="74"/>
      <c r="US6" s="74"/>
      <c r="UT6" s="74"/>
      <c r="UU6" s="74"/>
      <c r="UV6" s="74"/>
      <c r="UW6" s="74"/>
      <c r="UX6" s="74"/>
      <c r="UY6" s="74"/>
      <c r="UZ6" s="74"/>
      <c r="VA6" s="74"/>
      <c r="VB6" s="74"/>
      <c r="VC6" s="74"/>
      <c r="VD6" s="74"/>
      <c r="VE6" s="74"/>
      <c r="VF6" s="74"/>
      <c r="VG6" s="74"/>
      <c r="VH6" s="74"/>
      <c r="VI6" s="74"/>
      <c r="VJ6" s="74"/>
      <c r="VK6" s="74"/>
      <c r="VL6" s="74"/>
      <c r="VM6" s="74"/>
      <c r="VN6" s="74"/>
      <c r="VO6" s="74"/>
      <c r="VP6" s="74"/>
      <c r="VQ6" s="74"/>
      <c r="VR6" s="74"/>
      <c r="VS6" s="74"/>
      <c r="VT6" s="74"/>
      <c r="VU6" s="74"/>
      <c r="VV6" s="74"/>
      <c r="VW6" s="74"/>
      <c r="VX6" s="74"/>
      <c r="VY6" s="74"/>
      <c r="VZ6" s="74"/>
      <c r="WA6" s="74"/>
      <c r="WB6" s="74"/>
      <c r="WC6" s="74"/>
      <c r="WD6" s="74"/>
      <c r="WE6" s="74"/>
      <c r="WF6" s="74"/>
      <c r="WG6" s="74"/>
      <c r="WH6" s="74"/>
      <c r="WI6" s="74"/>
      <c r="WJ6" s="74"/>
      <c r="WK6" s="74"/>
      <c r="WL6" s="74"/>
      <c r="WM6" s="74"/>
      <c r="WN6" s="74"/>
      <c r="WO6" s="74"/>
      <c r="WP6" s="74"/>
      <c r="WQ6" s="74"/>
      <c r="WR6" s="74"/>
      <c r="WS6" s="74"/>
      <c r="WT6" s="74"/>
      <c r="WU6" s="74"/>
      <c r="WV6" s="74"/>
      <c r="WW6" s="74"/>
      <c r="WX6" s="74"/>
      <c r="WY6" s="74"/>
      <c r="WZ6" s="74"/>
      <c r="XA6" s="74"/>
      <c r="XB6" s="74"/>
      <c r="XC6" s="74"/>
      <c r="XD6" s="74"/>
      <c r="XE6" s="74"/>
      <c r="XF6" s="74"/>
      <c r="XG6" s="74"/>
      <c r="XH6" s="74"/>
      <c r="XI6" s="74"/>
      <c r="XJ6" s="74"/>
      <c r="XK6" s="74"/>
      <c r="XL6" s="74"/>
      <c r="XM6" s="74"/>
      <c r="XN6" s="74"/>
      <c r="XO6" s="74"/>
      <c r="XP6" s="74"/>
      <c r="XQ6" s="74"/>
      <c r="XR6" s="74"/>
      <c r="XS6" s="74"/>
      <c r="XT6" s="74"/>
      <c r="XU6" s="74"/>
      <c r="XV6" s="74"/>
      <c r="XW6" s="74"/>
      <c r="XX6" s="74"/>
      <c r="XY6" s="74"/>
      <c r="XZ6" s="74"/>
      <c r="YA6" s="74"/>
      <c r="YB6" s="74"/>
      <c r="YC6" s="74"/>
      <c r="YD6" s="74"/>
      <c r="YE6" s="74"/>
      <c r="YF6" s="74"/>
      <c r="YG6" s="74"/>
      <c r="YH6" s="74"/>
      <c r="YI6" s="74"/>
      <c r="YJ6" s="74"/>
      <c r="YK6" s="74"/>
      <c r="YL6" s="74"/>
      <c r="YM6" s="74"/>
      <c r="YN6" s="74"/>
      <c r="YO6" s="74"/>
      <c r="YP6" s="74"/>
      <c r="YQ6" s="74"/>
      <c r="YR6" s="74"/>
      <c r="YS6" s="74"/>
      <c r="YT6" s="74"/>
      <c r="YU6" s="74"/>
      <c r="YV6" s="74"/>
      <c r="YW6" s="74"/>
      <c r="YX6" s="74"/>
      <c r="YY6" s="74"/>
      <c r="YZ6" s="74"/>
      <c r="ZA6" s="74"/>
      <c r="ZB6" s="74"/>
      <c r="ZC6" s="74"/>
      <c r="ZD6" s="74"/>
      <c r="ZE6" s="74"/>
      <c r="ZF6" s="74"/>
      <c r="ZG6" s="74"/>
      <c r="ZH6" s="74"/>
      <c r="ZI6" s="74"/>
      <c r="ZJ6" s="74"/>
      <c r="ZK6" s="74"/>
      <c r="ZL6" s="74"/>
      <c r="ZM6" s="74"/>
      <c r="ZN6" s="74"/>
      <c r="ZO6" s="74"/>
      <c r="ZP6" s="74"/>
      <c r="ZQ6" s="74"/>
      <c r="ZR6" s="74"/>
      <c r="ZS6" s="74"/>
      <c r="ZT6" s="74"/>
      <c r="ZU6" s="74"/>
      <c r="ZV6" s="74"/>
      <c r="ZW6" s="74"/>
      <c r="ZX6" s="74"/>
      <c r="ZY6" s="74"/>
      <c r="ZZ6" s="74"/>
      <c r="AAA6" s="74"/>
      <c r="AAB6" s="74"/>
      <c r="AAC6" s="74"/>
      <c r="AAD6" s="74"/>
      <c r="AAE6" s="74"/>
      <c r="AAF6" s="74"/>
      <c r="AAG6" s="74"/>
      <c r="AAH6" s="74"/>
      <c r="AAI6" s="74"/>
      <c r="AAJ6" s="74"/>
      <c r="AAK6" s="74"/>
      <c r="AAL6" s="74"/>
      <c r="AAM6" s="74"/>
      <c r="AAN6" s="74"/>
      <c r="AAO6" s="74"/>
      <c r="AAP6" s="74"/>
      <c r="AAQ6" s="74"/>
      <c r="AAR6" s="74"/>
      <c r="AAS6" s="74"/>
      <c r="AAT6" s="74"/>
      <c r="AAU6" s="74"/>
      <c r="AAV6" s="74"/>
      <c r="AAW6" s="74"/>
      <c r="AAX6" s="74"/>
      <c r="AAY6" s="74"/>
      <c r="AAZ6" s="74"/>
      <c r="ABA6" s="74"/>
      <c r="ABB6" s="74"/>
      <c r="ABC6" s="74"/>
      <c r="ABD6" s="74"/>
      <c r="ABE6" s="74"/>
      <c r="ABF6" s="74"/>
      <c r="ABG6" s="74"/>
      <c r="ABH6" s="74"/>
      <c r="ABI6" s="74"/>
      <c r="ABJ6" s="74"/>
      <c r="ABK6" s="74"/>
      <c r="ABL6" s="74"/>
      <c r="ABM6" s="74"/>
      <c r="ABN6" s="74"/>
      <c r="ABO6" s="74"/>
      <c r="ABP6" s="74"/>
      <c r="ABQ6" s="74"/>
      <c r="ABR6" s="74"/>
      <c r="ABS6" s="74"/>
      <c r="ABT6" s="74"/>
      <c r="ABU6" s="74"/>
      <c r="ABV6" s="74"/>
      <c r="ABW6" s="74"/>
      <c r="ABX6" s="74"/>
      <c r="ABY6" s="74"/>
      <c r="ABZ6" s="74"/>
      <c r="ACA6" s="74"/>
      <c r="ACB6" s="74"/>
      <c r="ACC6" s="74"/>
      <c r="ACD6" s="74"/>
      <c r="ACE6" s="74"/>
      <c r="ACF6" s="74"/>
      <c r="ACG6" s="74"/>
      <c r="ACH6" s="74"/>
      <c r="ACI6" s="74"/>
      <c r="ACJ6" s="74"/>
      <c r="ACK6" s="74"/>
      <c r="ACL6" s="74"/>
      <c r="ACM6" s="74"/>
      <c r="ACN6" s="74"/>
      <c r="ACO6" s="74"/>
      <c r="ACP6" s="74"/>
      <c r="ACQ6" s="74"/>
      <c r="ACR6" s="74"/>
      <c r="ACS6" s="74"/>
      <c r="ACT6" s="74"/>
      <c r="ACU6" s="74"/>
      <c r="ACV6" s="74"/>
      <c r="ACW6" s="74"/>
      <c r="ACX6" s="74"/>
      <c r="ACY6" s="74"/>
      <c r="ACZ6" s="74"/>
      <c r="ADA6" s="74"/>
      <c r="ADB6" s="74"/>
      <c r="ADC6" s="74"/>
      <c r="ADD6" s="74"/>
      <c r="ADE6" s="74"/>
      <c r="ADF6" s="74"/>
      <c r="ADG6" s="74"/>
      <c r="ADH6" s="74"/>
      <c r="ADI6" s="74"/>
      <c r="ADJ6" s="74"/>
      <c r="ADK6" s="74"/>
      <c r="ADL6" s="74"/>
      <c r="ADM6" s="74"/>
      <c r="ADN6" s="74"/>
      <c r="ADO6" s="74"/>
      <c r="ADP6" s="74"/>
      <c r="ADQ6" s="74"/>
      <c r="ADR6" s="74"/>
      <c r="ADS6" s="74"/>
      <c r="ADT6" s="74"/>
      <c r="ADU6" s="74"/>
      <c r="ADV6" s="74"/>
      <c r="ADW6" s="74"/>
      <c r="ADX6" s="74"/>
      <c r="ADY6" s="74"/>
      <c r="ADZ6" s="74"/>
      <c r="AEA6" s="74"/>
      <c r="AEB6" s="74"/>
      <c r="AEC6" s="74"/>
      <c r="AED6" s="74"/>
      <c r="AEE6" s="74"/>
      <c r="AEF6" s="74"/>
      <c r="AEG6" s="74"/>
      <c r="AEH6" s="74"/>
      <c r="AEI6" s="74"/>
      <c r="AEJ6" s="74"/>
      <c r="AEK6" s="74"/>
      <c r="AEL6" s="74"/>
      <c r="AEM6" s="74"/>
      <c r="AEN6" s="74"/>
      <c r="AEO6" s="74"/>
      <c r="AEP6" s="74"/>
      <c r="AEQ6" s="74"/>
      <c r="AER6" s="74"/>
      <c r="AES6" s="74"/>
      <c r="AET6" s="74"/>
      <c r="AEU6" s="74"/>
      <c r="AEV6" s="74"/>
      <c r="AEW6" s="74"/>
      <c r="AEX6" s="74"/>
      <c r="AEY6" s="74"/>
      <c r="AEZ6" s="74"/>
      <c r="AFA6" s="74"/>
      <c r="AFB6" s="74"/>
      <c r="AFC6" s="74"/>
      <c r="AFD6" s="74"/>
    </row>
    <row r="7" spans="1:836" s="83" customFormat="1" ht="49.95" customHeight="1" x14ac:dyDescent="0.5">
      <c r="A7" s="76" t="str">
        <f t="shared" ref="A7:A12"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0" t="s">
        <v>547</v>
      </c>
      <c r="C7" s="77" t="s">
        <v>553</v>
      </c>
      <c r="D7" s="78"/>
      <c r="E7" s="89">
        <v>43992</v>
      </c>
      <c r="F7" s="90">
        <f t="shared" si="27"/>
        <v>43992</v>
      </c>
      <c r="G7" s="79">
        <v>1</v>
      </c>
      <c r="H7" s="80">
        <v>1</v>
      </c>
      <c r="I7" s="81">
        <v>1</v>
      </c>
      <c r="J7" s="82"/>
      <c r="K7" s="76"/>
      <c r="L7" s="76"/>
      <c r="M7" s="84"/>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c r="IW7" s="76"/>
      <c r="IX7" s="76"/>
      <c r="IY7" s="76"/>
      <c r="IZ7" s="76"/>
      <c r="JA7" s="76"/>
      <c r="JB7" s="76"/>
      <c r="JC7" s="76"/>
      <c r="JD7" s="76"/>
      <c r="JE7" s="76"/>
      <c r="JF7" s="76"/>
      <c r="JG7" s="76"/>
      <c r="JH7" s="76"/>
      <c r="JI7" s="76"/>
      <c r="JJ7" s="76"/>
      <c r="JK7" s="76"/>
      <c r="JL7" s="76"/>
      <c r="JM7" s="76"/>
      <c r="JN7" s="76"/>
      <c r="JO7" s="76"/>
      <c r="JP7" s="76"/>
      <c r="JQ7" s="76"/>
      <c r="JR7" s="76"/>
      <c r="JS7" s="76"/>
      <c r="JT7" s="76"/>
      <c r="JU7" s="76"/>
      <c r="JV7" s="76"/>
      <c r="JW7" s="76"/>
      <c r="JX7" s="76"/>
      <c r="JY7" s="76"/>
      <c r="JZ7" s="76"/>
      <c r="KA7" s="76"/>
      <c r="KB7" s="76"/>
      <c r="KC7" s="76"/>
      <c r="KD7" s="76"/>
      <c r="KE7" s="76"/>
      <c r="KF7" s="76"/>
      <c r="KG7" s="76"/>
      <c r="KH7" s="76"/>
      <c r="KI7" s="76"/>
      <c r="KJ7" s="76"/>
      <c r="KK7" s="76"/>
      <c r="KL7" s="76"/>
      <c r="KM7" s="76"/>
      <c r="KN7" s="76"/>
      <c r="KO7" s="76"/>
      <c r="KP7" s="76"/>
      <c r="KQ7" s="76"/>
      <c r="KR7" s="76"/>
      <c r="KS7" s="76"/>
      <c r="KT7" s="76"/>
      <c r="KU7" s="76"/>
      <c r="KV7" s="76"/>
      <c r="KW7" s="76"/>
      <c r="KX7" s="76"/>
      <c r="KY7" s="76"/>
      <c r="KZ7" s="76"/>
      <c r="LA7" s="76"/>
      <c r="LB7" s="76"/>
      <c r="LC7" s="76"/>
      <c r="LD7" s="76"/>
      <c r="LE7" s="76"/>
      <c r="LF7" s="76"/>
      <c r="LG7" s="76"/>
      <c r="LH7" s="76"/>
      <c r="LI7" s="76"/>
      <c r="LJ7" s="76"/>
      <c r="LK7" s="76"/>
      <c r="LL7" s="76"/>
      <c r="LM7" s="76"/>
      <c r="LN7" s="76"/>
      <c r="LO7" s="76"/>
      <c r="LP7" s="76"/>
      <c r="LQ7" s="76"/>
      <c r="LR7" s="76"/>
      <c r="LS7" s="76"/>
      <c r="LT7" s="76"/>
      <c r="LU7" s="76"/>
      <c r="LV7" s="76"/>
      <c r="LW7" s="76"/>
      <c r="LX7" s="76"/>
      <c r="LY7" s="76"/>
      <c r="LZ7" s="76"/>
      <c r="MA7" s="76"/>
      <c r="MB7" s="76"/>
      <c r="MC7" s="76"/>
      <c r="MD7" s="76"/>
      <c r="ME7" s="76"/>
      <c r="MF7" s="76"/>
      <c r="MG7" s="76"/>
      <c r="MH7" s="76"/>
      <c r="MI7" s="76"/>
      <c r="MJ7" s="76"/>
      <c r="MK7" s="76"/>
      <c r="ML7" s="76"/>
      <c r="MM7" s="76"/>
      <c r="MN7" s="76"/>
      <c r="MO7" s="76"/>
      <c r="MP7" s="76"/>
      <c r="MQ7" s="76"/>
      <c r="MR7" s="76"/>
      <c r="MS7" s="76"/>
      <c r="MT7" s="76"/>
      <c r="MU7" s="76"/>
      <c r="MV7" s="76"/>
      <c r="MW7" s="76"/>
      <c r="MX7" s="76"/>
      <c r="MY7" s="76"/>
      <c r="MZ7" s="76"/>
      <c r="NA7" s="76"/>
      <c r="NB7" s="76"/>
      <c r="NC7" s="76"/>
      <c r="ND7" s="76"/>
      <c r="NE7" s="76"/>
      <c r="NF7" s="76"/>
      <c r="NG7" s="76"/>
      <c r="NH7" s="76"/>
      <c r="NI7" s="76"/>
      <c r="NJ7" s="76"/>
      <c r="NK7" s="76"/>
      <c r="NL7" s="76"/>
      <c r="NM7" s="76"/>
      <c r="NN7" s="76"/>
      <c r="NO7" s="76"/>
      <c r="NP7" s="76"/>
      <c r="NQ7" s="76"/>
      <c r="NR7" s="76"/>
      <c r="NS7" s="76"/>
      <c r="NT7" s="76"/>
      <c r="NU7" s="76"/>
      <c r="NV7" s="76"/>
      <c r="NW7" s="76"/>
      <c r="NX7" s="76"/>
      <c r="NY7" s="76"/>
      <c r="NZ7" s="76"/>
      <c r="OA7" s="76"/>
      <c r="OB7" s="76"/>
      <c r="OC7" s="76"/>
      <c r="OD7" s="76"/>
      <c r="OE7" s="76"/>
      <c r="OF7" s="76"/>
      <c r="OG7" s="76"/>
      <c r="OH7" s="76"/>
      <c r="OI7" s="76"/>
      <c r="OJ7" s="76"/>
      <c r="OK7" s="76"/>
      <c r="OL7" s="76"/>
      <c r="OM7" s="76"/>
      <c r="ON7" s="76"/>
      <c r="OO7" s="76"/>
      <c r="OP7" s="76"/>
      <c r="OQ7" s="76"/>
      <c r="OR7" s="76"/>
      <c r="OS7" s="76"/>
      <c r="OT7" s="76"/>
      <c r="OU7" s="76"/>
      <c r="OV7" s="76"/>
      <c r="OW7" s="76"/>
      <c r="OX7" s="76"/>
      <c r="OY7" s="76"/>
      <c r="OZ7" s="76"/>
      <c r="PA7" s="76"/>
      <c r="PB7" s="76"/>
      <c r="PC7" s="76"/>
      <c r="PD7" s="76"/>
      <c r="PE7" s="76"/>
      <c r="PF7" s="76"/>
      <c r="PG7" s="76"/>
      <c r="PH7" s="76"/>
      <c r="PI7" s="76"/>
      <c r="PJ7" s="76"/>
      <c r="PK7" s="76"/>
      <c r="PL7" s="76"/>
      <c r="PM7" s="76"/>
      <c r="PN7" s="76"/>
      <c r="PO7" s="76"/>
      <c r="PP7" s="76"/>
      <c r="PQ7" s="76"/>
      <c r="PR7" s="76"/>
      <c r="PS7" s="76"/>
      <c r="PT7" s="76"/>
      <c r="PU7" s="76"/>
      <c r="PV7" s="76"/>
      <c r="PW7" s="76"/>
      <c r="PX7" s="76"/>
      <c r="PY7" s="76"/>
      <c r="PZ7" s="76"/>
      <c r="QA7" s="76"/>
      <c r="QB7" s="76"/>
      <c r="QC7" s="76"/>
      <c r="QD7" s="76"/>
      <c r="QE7" s="76"/>
      <c r="QF7" s="76"/>
      <c r="QG7" s="76"/>
      <c r="QH7" s="76"/>
      <c r="QI7" s="76"/>
      <c r="QJ7" s="76"/>
      <c r="QK7" s="76"/>
      <c r="QL7" s="76"/>
      <c r="QM7" s="76"/>
      <c r="QN7" s="76"/>
      <c r="QO7" s="76"/>
      <c r="QP7" s="76"/>
      <c r="QQ7" s="76"/>
      <c r="QR7" s="76"/>
      <c r="QS7" s="76"/>
      <c r="QT7" s="76"/>
      <c r="QU7" s="76"/>
      <c r="QV7" s="76"/>
      <c r="QW7" s="76"/>
      <c r="QX7" s="76"/>
      <c r="QY7" s="76"/>
      <c r="QZ7" s="76"/>
      <c r="RA7" s="76"/>
      <c r="RB7" s="76"/>
      <c r="RC7" s="76"/>
      <c r="RD7" s="76"/>
      <c r="RE7" s="76"/>
      <c r="RF7" s="76"/>
      <c r="RG7" s="76"/>
      <c r="RH7" s="76"/>
      <c r="RI7" s="76"/>
      <c r="RJ7" s="76"/>
      <c r="RK7" s="76"/>
      <c r="RL7" s="76"/>
      <c r="RM7" s="76"/>
      <c r="RN7" s="76"/>
      <c r="RO7" s="76"/>
      <c r="RP7" s="76"/>
      <c r="RQ7" s="76"/>
      <c r="RR7" s="76"/>
      <c r="RS7" s="76"/>
      <c r="RT7" s="76"/>
      <c r="RU7" s="76"/>
      <c r="RV7" s="76"/>
      <c r="RW7" s="76"/>
      <c r="RX7" s="76"/>
      <c r="RY7" s="76"/>
      <c r="RZ7" s="76"/>
      <c r="SA7" s="76"/>
      <c r="SB7" s="76"/>
      <c r="SC7" s="76"/>
      <c r="SD7" s="76"/>
      <c r="SE7" s="76"/>
      <c r="SF7" s="76"/>
      <c r="SG7" s="76"/>
      <c r="SH7" s="76"/>
      <c r="SI7" s="76"/>
      <c r="SJ7" s="76"/>
      <c r="SK7" s="76"/>
      <c r="SL7" s="76"/>
      <c r="SM7" s="76"/>
      <c r="SN7" s="76"/>
      <c r="SO7" s="76"/>
      <c r="SP7" s="76"/>
      <c r="SQ7" s="76"/>
      <c r="SR7" s="76"/>
      <c r="SS7" s="76"/>
      <c r="ST7" s="76"/>
      <c r="SU7" s="76"/>
      <c r="SV7" s="76"/>
      <c r="SW7" s="76"/>
      <c r="SX7" s="76"/>
      <c r="SY7" s="76"/>
      <c r="SZ7" s="76"/>
      <c r="TA7" s="76"/>
      <c r="TB7" s="76"/>
      <c r="TC7" s="76"/>
      <c r="TD7" s="76"/>
      <c r="TE7" s="76"/>
      <c r="TF7" s="76"/>
      <c r="TG7" s="76"/>
      <c r="TH7" s="76"/>
      <c r="TI7" s="76"/>
      <c r="TJ7" s="76"/>
      <c r="TK7" s="76"/>
      <c r="TL7" s="76"/>
      <c r="TM7" s="76"/>
      <c r="TN7" s="76"/>
      <c r="TO7" s="76"/>
      <c r="TP7" s="76"/>
      <c r="TQ7" s="76"/>
      <c r="TR7" s="76"/>
      <c r="TS7" s="76"/>
      <c r="TT7" s="76"/>
      <c r="TU7" s="76"/>
      <c r="TV7" s="76"/>
      <c r="TW7" s="76"/>
      <c r="TX7" s="76"/>
      <c r="TY7" s="76"/>
      <c r="TZ7" s="76"/>
      <c r="UA7" s="76"/>
      <c r="UB7" s="76"/>
      <c r="UC7" s="76"/>
      <c r="UD7" s="76"/>
      <c r="UE7" s="76"/>
      <c r="UF7" s="76"/>
      <c r="UG7" s="76"/>
      <c r="UH7" s="76"/>
      <c r="UI7" s="76"/>
      <c r="UJ7" s="76"/>
      <c r="UK7" s="76"/>
      <c r="UL7" s="76"/>
      <c r="UM7" s="76"/>
      <c r="UN7" s="76"/>
      <c r="UO7" s="76"/>
      <c r="UP7" s="76"/>
      <c r="UQ7" s="76"/>
      <c r="UR7" s="76"/>
      <c r="US7" s="76"/>
      <c r="UT7" s="76"/>
      <c r="UU7" s="76"/>
      <c r="UV7" s="76"/>
      <c r="UW7" s="76"/>
      <c r="UX7" s="76"/>
      <c r="UY7" s="76"/>
      <c r="UZ7" s="76"/>
      <c r="VA7" s="76"/>
      <c r="VB7" s="76"/>
      <c r="VC7" s="76"/>
      <c r="VD7" s="76"/>
      <c r="VE7" s="76"/>
      <c r="VF7" s="76"/>
      <c r="VG7" s="76"/>
      <c r="VH7" s="76"/>
      <c r="VI7" s="76"/>
      <c r="VJ7" s="76"/>
      <c r="VK7" s="76"/>
      <c r="VL7" s="76"/>
      <c r="VM7" s="76"/>
      <c r="VN7" s="76"/>
      <c r="VO7" s="76"/>
      <c r="VP7" s="76"/>
      <c r="VQ7" s="76"/>
      <c r="VR7" s="76"/>
      <c r="VS7" s="76"/>
      <c r="VT7" s="76"/>
      <c r="VU7" s="76"/>
      <c r="VV7" s="76"/>
      <c r="VW7" s="76"/>
      <c r="VX7" s="76"/>
      <c r="VY7" s="76"/>
      <c r="VZ7" s="76"/>
      <c r="WA7" s="76"/>
      <c r="WB7" s="76"/>
      <c r="WC7" s="76"/>
      <c r="WD7" s="76"/>
      <c r="WE7" s="76"/>
      <c r="WF7" s="76"/>
      <c r="WG7" s="76"/>
      <c r="WH7" s="76"/>
      <c r="WI7" s="76"/>
      <c r="WJ7" s="76"/>
      <c r="WK7" s="76"/>
      <c r="WL7" s="76"/>
      <c r="WM7" s="76"/>
      <c r="WN7" s="76"/>
      <c r="WO7" s="76"/>
      <c r="WP7" s="76"/>
      <c r="WQ7" s="76"/>
      <c r="WR7" s="76"/>
      <c r="WS7" s="76"/>
      <c r="WT7" s="76"/>
      <c r="WU7" s="76"/>
      <c r="WV7" s="76"/>
      <c r="WW7" s="76"/>
      <c r="WX7" s="76"/>
      <c r="WY7" s="76"/>
      <c r="WZ7" s="76"/>
      <c r="XA7" s="76"/>
      <c r="XB7" s="76"/>
      <c r="XC7" s="76"/>
      <c r="XD7" s="76"/>
      <c r="XE7" s="76"/>
      <c r="XF7" s="76"/>
      <c r="XG7" s="76"/>
      <c r="XH7" s="76"/>
      <c r="XI7" s="76"/>
      <c r="XJ7" s="76"/>
      <c r="XK7" s="76"/>
      <c r="XL7" s="76"/>
      <c r="XM7" s="76"/>
      <c r="XN7" s="76"/>
      <c r="XO7" s="76"/>
      <c r="XP7" s="76"/>
      <c r="XQ7" s="76"/>
      <c r="XR7" s="76"/>
      <c r="XS7" s="76"/>
      <c r="XT7" s="76"/>
      <c r="XU7" s="76"/>
      <c r="XV7" s="76"/>
      <c r="XW7" s="76"/>
      <c r="XX7" s="76"/>
      <c r="XY7" s="76"/>
      <c r="XZ7" s="76"/>
      <c r="YA7" s="76"/>
      <c r="YB7" s="76"/>
      <c r="YC7" s="76"/>
      <c r="YD7" s="76"/>
      <c r="YE7" s="76"/>
      <c r="YF7" s="76"/>
      <c r="YG7" s="76"/>
      <c r="YH7" s="76"/>
      <c r="YI7" s="76"/>
      <c r="YJ7" s="76"/>
      <c r="YK7" s="76"/>
      <c r="YL7" s="76"/>
      <c r="YM7" s="76"/>
      <c r="YN7" s="76"/>
      <c r="YO7" s="76"/>
      <c r="YP7" s="76"/>
      <c r="YQ7" s="76"/>
      <c r="YR7" s="76"/>
      <c r="YS7" s="76"/>
      <c r="YT7" s="76"/>
      <c r="YU7" s="76"/>
      <c r="YV7" s="76"/>
      <c r="YW7" s="76"/>
      <c r="YX7" s="76"/>
      <c r="YY7" s="76"/>
      <c r="YZ7" s="76"/>
      <c r="ZA7" s="76"/>
      <c r="ZB7" s="76"/>
      <c r="ZC7" s="76"/>
      <c r="ZD7" s="76"/>
      <c r="ZE7" s="76"/>
      <c r="ZF7" s="76"/>
      <c r="ZG7" s="76"/>
      <c r="ZH7" s="76"/>
      <c r="ZI7" s="76"/>
      <c r="ZJ7" s="76"/>
      <c r="ZK7" s="76"/>
      <c r="ZL7" s="76"/>
      <c r="ZM7" s="76"/>
      <c r="ZN7" s="76"/>
      <c r="ZO7" s="76"/>
      <c r="ZP7" s="76"/>
      <c r="ZQ7" s="76"/>
      <c r="ZR7" s="76"/>
      <c r="ZS7" s="76"/>
      <c r="ZT7" s="76"/>
      <c r="ZU7" s="76"/>
      <c r="ZV7" s="76"/>
      <c r="ZW7" s="76"/>
      <c r="ZX7" s="76"/>
      <c r="ZY7" s="76"/>
      <c r="ZZ7" s="76"/>
      <c r="AAA7" s="76"/>
      <c r="AAB7" s="76"/>
      <c r="AAC7" s="76"/>
      <c r="AAD7" s="76"/>
      <c r="AAE7" s="76"/>
      <c r="AAF7" s="76"/>
      <c r="AAG7" s="76"/>
      <c r="AAH7" s="76"/>
      <c r="AAI7" s="76"/>
      <c r="AAJ7" s="76"/>
      <c r="AAK7" s="76"/>
      <c r="AAL7" s="76"/>
      <c r="AAM7" s="76"/>
      <c r="AAN7" s="76"/>
      <c r="AAO7" s="76"/>
      <c r="AAP7" s="76"/>
      <c r="AAQ7" s="76"/>
      <c r="AAR7" s="76"/>
      <c r="AAS7" s="76"/>
      <c r="AAT7" s="76"/>
      <c r="AAU7" s="76"/>
      <c r="AAV7" s="76"/>
      <c r="AAW7" s="76"/>
      <c r="AAX7" s="76"/>
      <c r="AAY7" s="76"/>
      <c r="AAZ7" s="76"/>
      <c r="ABA7" s="76"/>
      <c r="ABB7" s="76"/>
      <c r="ABC7" s="76"/>
      <c r="ABD7" s="76"/>
      <c r="ABE7" s="76"/>
      <c r="ABF7" s="76"/>
      <c r="ABG7" s="76"/>
      <c r="ABH7" s="76"/>
      <c r="ABI7" s="76"/>
      <c r="ABJ7" s="76"/>
      <c r="ABK7" s="76"/>
      <c r="ABL7" s="76"/>
      <c r="ABM7" s="76"/>
      <c r="ABN7" s="76"/>
      <c r="ABO7" s="76"/>
      <c r="ABP7" s="76"/>
      <c r="ABQ7" s="76"/>
      <c r="ABR7" s="76"/>
      <c r="ABS7" s="76"/>
      <c r="ABT7" s="76"/>
      <c r="ABU7" s="76"/>
      <c r="ABV7" s="76"/>
      <c r="ABW7" s="76"/>
      <c r="ABX7" s="76"/>
      <c r="ABY7" s="76"/>
      <c r="ABZ7" s="76"/>
      <c r="ACA7" s="76"/>
      <c r="ACB7" s="76"/>
      <c r="ACC7" s="76"/>
      <c r="ACD7" s="76"/>
      <c r="ACE7" s="76"/>
      <c r="ACF7" s="76"/>
      <c r="ACG7" s="76"/>
      <c r="ACH7" s="76"/>
      <c r="ACI7" s="76"/>
      <c r="ACJ7" s="76"/>
      <c r="ACK7" s="76"/>
      <c r="ACL7" s="76"/>
      <c r="ACM7" s="76"/>
      <c r="ACN7" s="76"/>
      <c r="ACO7" s="76"/>
      <c r="ACP7" s="76"/>
      <c r="ACQ7" s="76"/>
      <c r="ACR7" s="76"/>
      <c r="ACS7" s="76"/>
      <c r="ACT7" s="76"/>
      <c r="ACU7" s="76"/>
      <c r="ACV7" s="76"/>
      <c r="ACW7" s="76"/>
      <c r="ACX7" s="76"/>
      <c r="ACY7" s="76"/>
      <c r="ACZ7" s="76"/>
      <c r="ADA7" s="76"/>
      <c r="ADB7" s="76"/>
      <c r="ADC7" s="76"/>
      <c r="ADD7" s="76"/>
      <c r="ADE7" s="76"/>
      <c r="ADF7" s="76"/>
      <c r="ADG7" s="76"/>
      <c r="ADH7" s="76"/>
      <c r="ADI7" s="76"/>
      <c r="ADJ7" s="76"/>
      <c r="ADK7" s="76"/>
      <c r="ADL7" s="76"/>
      <c r="ADM7" s="76"/>
      <c r="ADN7" s="76"/>
      <c r="ADO7" s="76"/>
      <c r="ADP7" s="76"/>
      <c r="ADQ7" s="76"/>
      <c r="ADR7" s="76"/>
      <c r="ADS7" s="76"/>
      <c r="ADT7" s="76"/>
      <c r="ADU7" s="76"/>
      <c r="ADV7" s="76"/>
      <c r="ADW7" s="76"/>
      <c r="ADX7" s="76"/>
      <c r="ADY7" s="76"/>
      <c r="ADZ7" s="76"/>
      <c r="AEA7" s="76"/>
      <c r="AEB7" s="76"/>
      <c r="AEC7" s="76"/>
      <c r="AED7" s="76"/>
      <c r="AEE7" s="76"/>
      <c r="AEF7" s="76"/>
      <c r="AEG7" s="76"/>
      <c r="AEH7" s="76"/>
      <c r="AEI7" s="76"/>
      <c r="AEJ7" s="76"/>
      <c r="AEK7" s="76"/>
      <c r="AEL7" s="76"/>
      <c r="AEM7" s="76"/>
      <c r="AEN7" s="76"/>
      <c r="AEO7" s="76"/>
      <c r="AEP7" s="76"/>
      <c r="AEQ7" s="76"/>
      <c r="AER7" s="76"/>
      <c r="AES7" s="76"/>
      <c r="AET7" s="76"/>
      <c r="AEU7" s="76"/>
      <c r="AEV7" s="76"/>
      <c r="AEW7" s="76"/>
      <c r="AEX7" s="76"/>
      <c r="AEY7" s="76"/>
      <c r="AEZ7" s="76"/>
      <c r="AFA7" s="76"/>
      <c r="AFB7" s="76"/>
      <c r="AFC7" s="76"/>
      <c r="AFD7" s="76"/>
    </row>
    <row r="8" spans="1:836" s="83" customFormat="1" ht="49.95" customHeight="1" x14ac:dyDescent="0.5">
      <c r="A8" s="76" t="str">
        <f t="shared" si="28"/>
        <v>1.2</v>
      </c>
      <c r="B8" s="100" t="s">
        <v>548</v>
      </c>
      <c r="C8" s="77" t="s">
        <v>553</v>
      </c>
      <c r="D8" s="78"/>
      <c r="E8" s="89">
        <f>F7+7*3</f>
        <v>44013</v>
      </c>
      <c r="F8" s="90">
        <f t="shared" si="27"/>
        <v>44013</v>
      </c>
      <c r="G8" s="79">
        <v>1</v>
      </c>
      <c r="H8" s="80">
        <v>1</v>
      </c>
      <c r="I8" s="81"/>
      <c r="J8" s="82"/>
      <c r="K8" s="76"/>
      <c r="L8" s="76"/>
      <c r="M8" s="84"/>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c r="IW8" s="76"/>
      <c r="IX8" s="76"/>
      <c r="IY8" s="76"/>
      <c r="IZ8" s="76"/>
      <c r="JA8" s="76"/>
      <c r="JB8" s="76"/>
      <c r="JC8" s="76"/>
      <c r="JD8" s="76"/>
      <c r="JE8" s="76"/>
      <c r="JF8" s="76"/>
      <c r="JG8" s="76"/>
      <c r="JH8" s="76"/>
      <c r="JI8" s="76"/>
      <c r="JJ8" s="76"/>
      <c r="JK8" s="76"/>
      <c r="JL8" s="76"/>
      <c r="JM8" s="76"/>
      <c r="JN8" s="76"/>
      <c r="JO8" s="76"/>
      <c r="JP8" s="76"/>
      <c r="JQ8" s="76"/>
      <c r="JR8" s="76"/>
      <c r="JS8" s="76"/>
      <c r="JT8" s="76"/>
      <c r="JU8" s="76"/>
      <c r="JV8" s="76"/>
      <c r="JW8" s="76"/>
      <c r="JX8" s="76"/>
      <c r="JY8" s="76"/>
      <c r="JZ8" s="76"/>
      <c r="KA8" s="76"/>
      <c r="KB8" s="76"/>
      <c r="KC8" s="76"/>
      <c r="KD8" s="76"/>
      <c r="KE8" s="76"/>
      <c r="KF8" s="76"/>
      <c r="KG8" s="76"/>
      <c r="KH8" s="76"/>
      <c r="KI8" s="76"/>
      <c r="KJ8" s="76"/>
      <c r="KK8" s="76"/>
      <c r="KL8" s="76"/>
      <c r="KM8" s="76"/>
      <c r="KN8" s="76"/>
      <c r="KO8" s="76"/>
      <c r="KP8" s="76"/>
      <c r="KQ8" s="76"/>
      <c r="KR8" s="76"/>
      <c r="KS8" s="76"/>
      <c r="KT8" s="76"/>
      <c r="KU8" s="76"/>
      <c r="KV8" s="76"/>
      <c r="KW8" s="76"/>
      <c r="KX8" s="76"/>
      <c r="KY8" s="76"/>
      <c r="KZ8" s="76"/>
      <c r="LA8" s="76"/>
      <c r="LB8" s="76"/>
      <c r="LC8" s="76"/>
      <c r="LD8" s="76"/>
      <c r="LE8" s="76"/>
      <c r="LF8" s="76"/>
      <c r="LG8" s="76"/>
      <c r="LH8" s="76"/>
      <c r="LI8" s="76"/>
      <c r="LJ8" s="76"/>
      <c r="LK8" s="76"/>
      <c r="LL8" s="76"/>
      <c r="LM8" s="76"/>
      <c r="LN8" s="76"/>
      <c r="LO8" s="76"/>
      <c r="LP8" s="76"/>
      <c r="LQ8" s="76"/>
      <c r="LR8" s="76"/>
      <c r="LS8" s="76"/>
      <c r="LT8" s="76"/>
      <c r="LU8" s="76"/>
      <c r="LV8" s="76"/>
      <c r="LW8" s="76"/>
      <c r="LX8" s="76"/>
      <c r="LY8" s="76"/>
      <c r="LZ8" s="76"/>
      <c r="MA8" s="76"/>
      <c r="MB8" s="76"/>
      <c r="MC8" s="76"/>
      <c r="MD8" s="76"/>
      <c r="ME8" s="76"/>
      <c r="MF8" s="76"/>
      <c r="MG8" s="76"/>
      <c r="MH8" s="76"/>
      <c r="MI8" s="76"/>
      <c r="MJ8" s="76"/>
      <c r="MK8" s="76"/>
      <c r="ML8" s="76"/>
      <c r="MM8" s="76"/>
      <c r="MN8" s="76"/>
      <c r="MO8" s="76"/>
      <c r="MP8" s="76"/>
      <c r="MQ8" s="76"/>
      <c r="MR8" s="76"/>
      <c r="MS8" s="76"/>
      <c r="MT8" s="76"/>
      <c r="MU8" s="76"/>
      <c r="MV8" s="76"/>
      <c r="MW8" s="76"/>
      <c r="MX8" s="76"/>
      <c r="MY8" s="76"/>
      <c r="MZ8" s="76"/>
      <c r="NA8" s="76"/>
      <c r="NB8" s="76"/>
      <c r="NC8" s="76"/>
      <c r="ND8" s="76"/>
      <c r="NE8" s="76"/>
      <c r="NF8" s="76"/>
      <c r="NG8" s="76"/>
      <c r="NH8" s="76"/>
      <c r="NI8" s="76"/>
      <c r="NJ8" s="76"/>
      <c r="NK8" s="76"/>
      <c r="NL8" s="76"/>
      <c r="NM8" s="76"/>
      <c r="NN8" s="76"/>
      <c r="NO8" s="76"/>
      <c r="NP8" s="76"/>
      <c r="NQ8" s="76"/>
      <c r="NR8" s="76"/>
      <c r="NS8" s="76"/>
      <c r="NT8" s="76"/>
      <c r="NU8" s="76"/>
      <c r="NV8" s="76"/>
      <c r="NW8" s="76"/>
      <c r="NX8" s="76"/>
      <c r="NY8" s="76"/>
      <c r="NZ8" s="76"/>
      <c r="OA8" s="76"/>
      <c r="OB8" s="76"/>
      <c r="OC8" s="76"/>
      <c r="OD8" s="76"/>
      <c r="OE8" s="76"/>
      <c r="OF8" s="76"/>
      <c r="OG8" s="76"/>
      <c r="OH8" s="76"/>
      <c r="OI8" s="76"/>
      <c r="OJ8" s="76"/>
      <c r="OK8" s="76"/>
      <c r="OL8" s="76"/>
      <c r="OM8" s="76"/>
      <c r="ON8" s="76"/>
      <c r="OO8" s="76"/>
      <c r="OP8" s="76"/>
      <c r="OQ8" s="76"/>
      <c r="OR8" s="76"/>
      <c r="OS8" s="76"/>
      <c r="OT8" s="76"/>
      <c r="OU8" s="76"/>
      <c r="OV8" s="76"/>
      <c r="OW8" s="76"/>
      <c r="OX8" s="76"/>
      <c r="OY8" s="76"/>
      <c r="OZ8" s="76"/>
      <c r="PA8" s="76"/>
      <c r="PB8" s="76"/>
      <c r="PC8" s="76"/>
      <c r="PD8" s="76"/>
      <c r="PE8" s="76"/>
      <c r="PF8" s="76"/>
      <c r="PG8" s="76"/>
      <c r="PH8" s="76"/>
      <c r="PI8" s="76"/>
      <c r="PJ8" s="76"/>
      <c r="PK8" s="76"/>
      <c r="PL8" s="76"/>
      <c r="PM8" s="76"/>
      <c r="PN8" s="76"/>
      <c r="PO8" s="76"/>
      <c r="PP8" s="76"/>
      <c r="PQ8" s="76"/>
      <c r="PR8" s="76"/>
      <c r="PS8" s="76"/>
      <c r="PT8" s="76"/>
      <c r="PU8" s="76"/>
      <c r="PV8" s="76"/>
      <c r="PW8" s="76"/>
      <c r="PX8" s="76"/>
      <c r="PY8" s="76"/>
      <c r="PZ8" s="76"/>
      <c r="QA8" s="76"/>
      <c r="QB8" s="76"/>
      <c r="QC8" s="76"/>
      <c r="QD8" s="76"/>
      <c r="QE8" s="76"/>
      <c r="QF8" s="76"/>
      <c r="QG8" s="76"/>
      <c r="QH8" s="76"/>
      <c r="QI8" s="76"/>
      <c r="QJ8" s="76"/>
      <c r="QK8" s="76"/>
      <c r="QL8" s="76"/>
      <c r="QM8" s="76"/>
      <c r="QN8" s="76"/>
      <c r="QO8" s="76"/>
      <c r="QP8" s="76"/>
      <c r="QQ8" s="76"/>
      <c r="QR8" s="76"/>
      <c r="QS8" s="76"/>
      <c r="QT8" s="76"/>
      <c r="QU8" s="76"/>
      <c r="QV8" s="76"/>
      <c r="QW8" s="76"/>
      <c r="QX8" s="76"/>
      <c r="QY8" s="76"/>
      <c r="QZ8" s="76"/>
      <c r="RA8" s="76"/>
      <c r="RB8" s="76"/>
      <c r="RC8" s="76"/>
      <c r="RD8" s="76"/>
      <c r="RE8" s="76"/>
      <c r="RF8" s="76"/>
      <c r="RG8" s="76"/>
      <c r="RH8" s="76"/>
      <c r="RI8" s="76"/>
      <c r="RJ8" s="76"/>
      <c r="RK8" s="76"/>
      <c r="RL8" s="76"/>
      <c r="RM8" s="76"/>
      <c r="RN8" s="76"/>
      <c r="RO8" s="76"/>
      <c r="RP8" s="76"/>
      <c r="RQ8" s="76"/>
      <c r="RR8" s="76"/>
      <c r="RS8" s="76"/>
      <c r="RT8" s="76"/>
      <c r="RU8" s="76"/>
      <c r="RV8" s="76"/>
      <c r="RW8" s="76"/>
      <c r="RX8" s="76"/>
      <c r="RY8" s="76"/>
      <c r="RZ8" s="76"/>
      <c r="SA8" s="76"/>
      <c r="SB8" s="76"/>
      <c r="SC8" s="76"/>
      <c r="SD8" s="76"/>
      <c r="SE8" s="76"/>
      <c r="SF8" s="76"/>
      <c r="SG8" s="76"/>
      <c r="SH8" s="76"/>
      <c r="SI8" s="76"/>
      <c r="SJ8" s="76"/>
      <c r="SK8" s="76"/>
      <c r="SL8" s="76"/>
      <c r="SM8" s="76"/>
      <c r="SN8" s="76"/>
      <c r="SO8" s="76"/>
      <c r="SP8" s="76"/>
      <c r="SQ8" s="76"/>
      <c r="SR8" s="76"/>
      <c r="SS8" s="76"/>
      <c r="ST8" s="76"/>
      <c r="SU8" s="76"/>
      <c r="SV8" s="76"/>
      <c r="SW8" s="76"/>
      <c r="SX8" s="76"/>
      <c r="SY8" s="76"/>
      <c r="SZ8" s="76"/>
      <c r="TA8" s="76"/>
      <c r="TB8" s="76"/>
      <c r="TC8" s="76"/>
      <c r="TD8" s="76"/>
      <c r="TE8" s="76"/>
      <c r="TF8" s="76"/>
      <c r="TG8" s="76"/>
      <c r="TH8" s="76"/>
      <c r="TI8" s="76"/>
      <c r="TJ8" s="76"/>
      <c r="TK8" s="76"/>
      <c r="TL8" s="76"/>
      <c r="TM8" s="76"/>
      <c r="TN8" s="76"/>
      <c r="TO8" s="76"/>
      <c r="TP8" s="76"/>
      <c r="TQ8" s="76"/>
      <c r="TR8" s="76"/>
      <c r="TS8" s="76"/>
      <c r="TT8" s="76"/>
      <c r="TU8" s="76"/>
      <c r="TV8" s="76"/>
      <c r="TW8" s="76"/>
      <c r="TX8" s="76"/>
      <c r="TY8" s="76"/>
      <c r="TZ8" s="76"/>
      <c r="UA8" s="76"/>
      <c r="UB8" s="76"/>
      <c r="UC8" s="76"/>
      <c r="UD8" s="76"/>
      <c r="UE8" s="76"/>
      <c r="UF8" s="76"/>
      <c r="UG8" s="76"/>
      <c r="UH8" s="76"/>
      <c r="UI8" s="76"/>
      <c r="UJ8" s="76"/>
      <c r="UK8" s="76"/>
      <c r="UL8" s="76"/>
      <c r="UM8" s="76"/>
      <c r="UN8" s="76"/>
      <c r="UO8" s="76"/>
      <c r="UP8" s="76"/>
      <c r="UQ8" s="76"/>
      <c r="UR8" s="76"/>
      <c r="US8" s="76"/>
      <c r="UT8" s="76"/>
      <c r="UU8" s="76"/>
      <c r="UV8" s="76"/>
      <c r="UW8" s="76"/>
      <c r="UX8" s="76"/>
      <c r="UY8" s="76"/>
      <c r="UZ8" s="76"/>
      <c r="VA8" s="76"/>
      <c r="VB8" s="76"/>
      <c r="VC8" s="76"/>
      <c r="VD8" s="76"/>
      <c r="VE8" s="76"/>
      <c r="VF8" s="76"/>
      <c r="VG8" s="76"/>
      <c r="VH8" s="76"/>
      <c r="VI8" s="76"/>
      <c r="VJ8" s="76"/>
      <c r="VK8" s="76"/>
      <c r="VL8" s="76"/>
      <c r="VM8" s="76"/>
      <c r="VN8" s="76"/>
      <c r="VO8" s="76"/>
      <c r="VP8" s="76"/>
      <c r="VQ8" s="76"/>
      <c r="VR8" s="76"/>
      <c r="VS8" s="76"/>
      <c r="VT8" s="76"/>
      <c r="VU8" s="76"/>
      <c r="VV8" s="76"/>
      <c r="VW8" s="76"/>
      <c r="VX8" s="76"/>
      <c r="VY8" s="76"/>
      <c r="VZ8" s="76"/>
      <c r="WA8" s="76"/>
      <c r="WB8" s="76"/>
      <c r="WC8" s="76"/>
      <c r="WD8" s="76"/>
      <c r="WE8" s="76"/>
      <c r="WF8" s="76"/>
      <c r="WG8" s="76"/>
      <c r="WH8" s="76"/>
      <c r="WI8" s="76"/>
      <c r="WJ8" s="76"/>
      <c r="WK8" s="76"/>
      <c r="WL8" s="76"/>
      <c r="WM8" s="76"/>
      <c r="WN8" s="76"/>
      <c r="WO8" s="76"/>
      <c r="WP8" s="76"/>
      <c r="WQ8" s="76"/>
      <c r="WR8" s="76"/>
      <c r="WS8" s="76"/>
      <c r="WT8" s="76"/>
      <c r="WU8" s="76"/>
      <c r="WV8" s="76"/>
      <c r="WW8" s="76"/>
      <c r="WX8" s="76"/>
      <c r="WY8" s="76"/>
      <c r="WZ8" s="76"/>
      <c r="XA8" s="76"/>
      <c r="XB8" s="76"/>
      <c r="XC8" s="76"/>
      <c r="XD8" s="76"/>
      <c r="XE8" s="76"/>
      <c r="XF8" s="76"/>
      <c r="XG8" s="76"/>
      <c r="XH8" s="76"/>
      <c r="XI8" s="76"/>
      <c r="XJ8" s="76"/>
      <c r="XK8" s="76"/>
      <c r="XL8" s="76"/>
      <c r="XM8" s="76"/>
      <c r="XN8" s="76"/>
      <c r="XO8" s="76"/>
      <c r="XP8" s="76"/>
      <c r="XQ8" s="76"/>
      <c r="XR8" s="76"/>
      <c r="XS8" s="76"/>
      <c r="XT8" s="76"/>
      <c r="XU8" s="76"/>
      <c r="XV8" s="76"/>
      <c r="XW8" s="76"/>
      <c r="XX8" s="76"/>
      <c r="XY8" s="76"/>
      <c r="XZ8" s="76"/>
      <c r="YA8" s="76"/>
      <c r="YB8" s="76"/>
      <c r="YC8" s="76"/>
      <c r="YD8" s="76"/>
      <c r="YE8" s="76"/>
      <c r="YF8" s="76"/>
      <c r="YG8" s="76"/>
      <c r="YH8" s="76"/>
      <c r="YI8" s="76"/>
      <c r="YJ8" s="76"/>
      <c r="YK8" s="76"/>
      <c r="YL8" s="76"/>
      <c r="YM8" s="76"/>
      <c r="YN8" s="76"/>
      <c r="YO8" s="76"/>
      <c r="YP8" s="76"/>
      <c r="YQ8" s="76"/>
      <c r="YR8" s="76"/>
      <c r="YS8" s="76"/>
      <c r="YT8" s="76"/>
      <c r="YU8" s="76"/>
      <c r="YV8" s="76"/>
      <c r="YW8" s="76"/>
      <c r="YX8" s="76"/>
      <c r="YY8" s="76"/>
      <c r="YZ8" s="76"/>
      <c r="ZA8" s="76"/>
      <c r="ZB8" s="76"/>
      <c r="ZC8" s="76"/>
      <c r="ZD8" s="76"/>
      <c r="ZE8" s="76"/>
      <c r="ZF8" s="76"/>
      <c r="ZG8" s="76"/>
      <c r="ZH8" s="76"/>
      <c r="ZI8" s="76"/>
      <c r="ZJ8" s="76"/>
      <c r="ZK8" s="76"/>
      <c r="ZL8" s="76"/>
      <c r="ZM8" s="76"/>
      <c r="ZN8" s="76"/>
      <c r="ZO8" s="76"/>
      <c r="ZP8" s="76"/>
      <c r="ZQ8" s="76"/>
      <c r="ZR8" s="76"/>
      <c r="ZS8" s="76"/>
      <c r="ZT8" s="76"/>
      <c r="ZU8" s="76"/>
      <c r="ZV8" s="76"/>
      <c r="ZW8" s="76"/>
      <c r="ZX8" s="76"/>
      <c r="ZY8" s="76"/>
      <c r="ZZ8" s="76"/>
      <c r="AAA8" s="76"/>
      <c r="AAB8" s="76"/>
      <c r="AAC8" s="76"/>
      <c r="AAD8" s="76"/>
      <c r="AAE8" s="76"/>
      <c r="AAF8" s="76"/>
      <c r="AAG8" s="76"/>
      <c r="AAH8" s="76"/>
      <c r="AAI8" s="76"/>
      <c r="AAJ8" s="76"/>
      <c r="AAK8" s="76"/>
      <c r="AAL8" s="76"/>
      <c r="AAM8" s="76"/>
      <c r="AAN8" s="76"/>
      <c r="AAO8" s="76"/>
      <c r="AAP8" s="76"/>
      <c r="AAQ8" s="76"/>
      <c r="AAR8" s="76"/>
      <c r="AAS8" s="76"/>
      <c r="AAT8" s="76"/>
      <c r="AAU8" s="76"/>
      <c r="AAV8" s="76"/>
      <c r="AAW8" s="76"/>
      <c r="AAX8" s="76"/>
      <c r="AAY8" s="76"/>
      <c r="AAZ8" s="76"/>
      <c r="ABA8" s="76"/>
      <c r="ABB8" s="76"/>
      <c r="ABC8" s="76"/>
      <c r="ABD8" s="76"/>
      <c r="ABE8" s="76"/>
      <c r="ABF8" s="76"/>
      <c r="ABG8" s="76"/>
      <c r="ABH8" s="76"/>
      <c r="ABI8" s="76"/>
      <c r="ABJ8" s="76"/>
      <c r="ABK8" s="76"/>
      <c r="ABL8" s="76"/>
      <c r="ABM8" s="76"/>
      <c r="ABN8" s="76"/>
      <c r="ABO8" s="76"/>
      <c r="ABP8" s="76"/>
      <c r="ABQ8" s="76"/>
      <c r="ABR8" s="76"/>
      <c r="ABS8" s="76"/>
      <c r="ABT8" s="76"/>
      <c r="ABU8" s="76"/>
      <c r="ABV8" s="76"/>
      <c r="ABW8" s="76"/>
      <c r="ABX8" s="76"/>
      <c r="ABY8" s="76"/>
      <c r="ABZ8" s="76"/>
      <c r="ACA8" s="76"/>
      <c r="ACB8" s="76"/>
      <c r="ACC8" s="76"/>
      <c r="ACD8" s="76"/>
      <c r="ACE8" s="76"/>
      <c r="ACF8" s="76"/>
      <c r="ACG8" s="76"/>
      <c r="ACH8" s="76"/>
      <c r="ACI8" s="76"/>
      <c r="ACJ8" s="76"/>
      <c r="ACK8" s="76"/>
      <c r="ACL8" s="76"/>
      <c r="ACM8" s="76"/>
      <c r="ACN8" s="76"/>
      <c r="ACO8" s="76"/>
      <c r="ACP8" s="76"/>
      <c r="ACQ8" s="76"/>
      <c r="ACR8" s="76"/>
      <c r="ACS8" s="76"/>
      <c r="ACT8" s="76"/>
      <c r="ACU8" s="76"/>
      <c r="ACV8" s="76"/>
      <c r="ACW8" s="76"/>
      <c r="ACX8" s="76"/>
      <c r="ACY8" s="76"/>
      <c r="ACZ8" s="76"/>
      <c r="ADA8" s="76"/>
      <c r="ADB8" s="76"/>
      <c r="ADC8" s="76"/>
      <c r="ADD8" s="76"/>
      <c r="ADE8" s="76"/>
      <c r="ADF8" s="76"/>
      <c r="ADG8" s="76"/>
      <c r="ADH8" s="76"/>
      <c r="ADI8" s="76"/>
      <c r="ADJ8" s="76"/>
      <c r="ADK8" s="76"/>
      <c r="ADL8" s="76"/>
      <c r="ADM8" s="76"/>
      <c r="ADN8" s="76"/>
      <c r="ADO8" s="76"/>
      <c r="ADP8" s="76"/>
      <c r="ADQ8" s="76"/>
      <c r="ADR8" s="76"/>
      <c r="ADS8" s="76"/>
      <c r="ADT8" s="76"/>
      <c r="ADU8" s="76"/>
      <c r="ADV8" s="76"/>
      <c r="ADW8" s="76"/>
      <c r="ADX8" s="76"/>
      <c r="ADY8" s="76"/>
      <c r="ADZ8" s="76"/>
      <c r="AEA8" s="76"/>
      <c r="AEB8" s="76"/>
      <c r="AEC8" s="76"/>
      <c r="AED8" s="76"/>
      <c r="AEE8" s="76"/>
      <c r="AEF8" s="76"/>
      <c r="AEG8" s="76"/>
      <c r="AEH8" s="76"/>
      <c r="AEI8" s="76"/>
      <c r="AEJ8" s="76"/>
      <c r="AEK8" s="76"/>
      <c r="AEL8" s="76"/>
      <c r="AEM8" s="76"/>
      <c r="AEN8" s="76"/>
      <c r="AEO8" s="76"/>
      <c r="AEP8" s="76"/>
      <c r="AEQ8" s="76"/>
      <c r="AER8" s="76"/>
      <c r="AES8" s="76"/>
      <c r="AET8" s="76"/>
      <c r="AEU8" s="76"/>
      <c r="AEV8" s="76"/>
      <c r="AEW8" s="76"/>
      <c r="AEX8" s="76"/>
      <c r="AEY8" s="76"/>
      <c r="AEZ8" s="76"/>
      <c r="AFA8" s="76"/>
      <c r="AFB8" s="76"/>
      <c r="AFC8" s="76"/>
      <c r="AFD8" s="76"/>
    </row>
    <row r="9" spans="1:836" s="83" customFormat="1" ht="49.95" customHeight="1" x14ac:dyDescent="0.5">
      <c r="A9" s="76" t="str">
        <f t="shared" si="28"/>
        <v>1.3</v>
      </c>
      <c r="B9" s="100" t="s">
        <v>549</v>
      </c>
      <c r="C9" s="77" t="s">
        <v>553</v>
      </c>
      <c r="D9" s="78"/>
      <c r="E9" s="89">
        <v>44105</v>
      </c>
      <c r="F9" s="90">
        <f t="shared" si="27"/>
        <v>44111</v>
      </c>
      <c r="G9" s="79">
        <v>7</v>
      </c>
      <c r="H9" s="80">
        <v>1</v>
      </c>
      <c r="I9" s="81"/>
      <c r="J9" s="82"/>
      <c r="K9" s="76"/>
      <c r="L9" s="76"/>
      <c r="M9" s="84"/>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c r="KR9" s="76"/>
      <c r="KS9" s="76"/>
      <c r="KT9" s="76"/>
      <c r="KU9" s="76"/>
      <c r="KV9" s="76"/>
      <c r="KW9" s="76"/>
      <c r="KX9" s="76"/>
      <c r="KY9" s="76"/>
      <c r="KZ9" s="76"/>
      <c r="LA9" s="76"/>
      <c r="LB9" s="76"/>
      <c r="LC9" s="76"/>
      <c r="LD9" s="76"/>
      <c r="LE9" s="76"/>
      <c r="LF9" s="76"/>
      <c r="LG9" s="76"/>
      <c r="LH9" s="76"/>
      <c r="LI9" s="76"/>
      <c r="LJ9" s="76"/>
      <c r="LK9" s="76"/>
      <c r="LL9" s="76"/>
      <c r="LM9" s="76"/>
      <c r="LN9" s="76"/>
      <c r="LO9" s="76"/>
      <c r="LP9" s="76"/>
      <c r="LQ9" s="76"/>
      <c r="LR9" s="76"/>
      <c r="LS9" s="76"/>
      <c r="LT9" s="76"/>
      <c r="LU9" s="76"/>
      <c r="LV9" s="76"/>
      <c r="LW9" s="76"/>
      <c r="LX9" s="76"/>
      <c r="LY9" s="76"/>
      <c r="LZ9" s="76"/>
      <c r="MA9" s="76"/>
      <c r="MB9" s="76"/>
      <c r="MC9" s="76"/>
      <c r="MD9" s="76"/>
      <c r="ME9" s="76"/>
      <c r="MF9" s="76"/>
      <c r="MG9" s="76"/>
      <c r="MH9" s="76"/>
      <c r="MI9" s="76"/>
      <c r="MJ9" s="76"/>
      <c r="MK9" s="76"/>
      <c r="ML9" s="76"/>
      <c r="MM9" s="76"/>
      <c r="MN9" s="76"/>
      <c r="MO9" s="76"/>
      <c r="MP9" s="76"/>
      <c r="MQ9" s="76"/>
      <c r="MR9" s="76"/>
      <c r="MS9" s="76"/>
      <c r="MT9" s="76"/>
      <c r="MU9" s="76"/>
      <c r="MV9" s="76"/>
      <c r="MW9" s="76"/>
      <c r="MX9" s="76"/>
      <c r="MY9" s="76"/>
      <c r="MZ9" s="76"/>
      <c r="NA9" s="76"/>
      <c r="NB9" s="76"/>
      <c r="NC9" s="76"/>
      <c r="ND9" s="76"/>
      <c r="NE9" s="76"/>
      <c r="NF9" s="76"/>
      <c r="NG9" s="76"/>
      <c r="NH9" s="76"/>
      <c r="NI9" s="76"/>
      <c r="NJ9" s="76"/>
      <c r="NK9" s="76"/>
      <c r="NL9" s="76"/>
      <c r="NM9" s="76"/>
      <c r="NN9" s="76"/>
      <c r="NO9" s="76"/>
      <c r="NP9" s="76"/>
      <c r="NQ9" s="76"/>
      <c r="NR9" s="76"/>
      <c r="NS9" s="76"/>
      <c r="NT9" s="76"/>
      <c r="NU9" s="76"/>
      <c r="NV9" s="76"/>
      <c r="NW9" s="76"/>
      <c r="NX9" s="76"/>
      <c r="NY9" s="76"/>
      <c r="NZ9" s="76"/>
      <c r="OA9" s="76"/>
      <c r="OB9" s="76"/>
      <c r="OC9" s="76"/>
      <c r="OD9" s="76"/>
      <c r="OE9" s="76"/>
      <c r="OF9" s="76"/>
      <c r="OG9" s="76"/>
      <c r="OH9" s="76"/>
      <c r="OI9" s="76"/>
      <c r="OJ9" s="76"/>
      <c r="OK9" s="76"/>
      <c r="OL9" s="76"/>
      <c r="OM9" s="76"/>
      <c r="ON9" s="76"/>
      <c r="OO9" s="76"/>
      <c r="OP9" s="76"/>
      <c r="OQ9" s="76"/>
      <c r="OR9" s="76"/>
      <c r="OS9" s="76"/>
      <c r="OT9" s="76"/>
      <c r="OU9" s="76"/>
      <c r="OV9" s="76"/>
      <c r="OW9" s="76"/>
      <c r="OX9" s="76"/>
      <c r="OY9" s="76"/>
      <c r="OZ9" s="76"/>
      <c r="PA9" s="76"/>
      <c r="PB9" s="76"/>
      <c r="PC9" s="76"/>
      <c r="PD9" s="76"/>
      <c r="PE9" s="76"/>
      <c r="PF9" s="76"/>
      <c r="PG9" s="76"/>
      <c r="PH9" s="76"/>
      <c r="PI9" s="76"/>
      <c r="PJ9" s="76"/>
      <c r="PK9" s="76"/>
      <c r="PL9" s="76"/>
      <c r="PM9" s="76"/>
      <c r="PN9" s="76"/>
      <c r="PO9" s="76"/>
      <c r="PP9" s="76"/>
      <c r="PQ9" s="76"/>
      <c r="PR9" s="76"/>
      <c r="PS9" s="76"/>
      <c r="PT9" s="76"/>
      <c r="PU9" s="76"/>
      <c r="PV9" s="76"/>
      <c r="PW9" s="76"/>
      <c r="PX9" s="76"/>
      <c r="PY9" s="76"/>
      <c r="PZ9" s="76"/>
      <c r="QA9" s="76"/>
      <c r="QB9" s="76"/>
      <c r="QC9" s="76"/>
      <c r="QD9" s="76"/>
      <c r="QE9" s="76"/>
      <c r="QF9" s="76"/>
      <c r="QG9" s="76"/>
      <c r="QH9" s="76"/>
      <c r="QI9" s="76"/>
      <c r="QJ9" s="76"/>
      <c r="QK9" s="76"/>
      <c r="QL9" s="76"/>
      <c r="QM9" s="76"/>
      <c r="QN9" s="76"/>
      <c r="QO9" s="76"/>
      <c r="QP9" s="76"/>
      <c r="QQ9" s="76"/>
      <c r="QR9" s="76"/>
      <c r="QS9" s="76"/>
      <c r="QT9" s="76"/>
      <c r="QU9" s="76"/>
      <c r="QV9" s="76"/>
      <c r="QW9" s="76"/>
      <c r="QX9" s="76"/>
      <c r="QY9" s="76"/>
      <c r="QZ9" s="76"/>
      <c r="RA9" s="76"/>
      <c r="RB9" s="76"/>
      <c r="RC9" s="76"/>
      <c r="RD9" s="76"/>
      <c r="RE9" s="76"/>
      <c r="RF9" s="76"/>
      <c r="RG9" s="76"/>
      <c r="RH9" s="76"/>
      <c r="RI9" s="76"/>
      <c r="RJ9" s="76"/>
      <c r="RK9" s="76"/>
      <c r="RL9" s="76"/>
      <c r="RM9" s="76"/>
      <c r="RN9" s="76"/>
      <c r="RO9" s="76"/>
      <c r="RP9" s="76"/>
      <c r="RQ9" s="76"/>
      <c r="RR9" s="76"/>
      <c r="RS9" s="76"/>
      <c r="RT9" s="76"/>
      <c r="RU9" s="76"/>
      <c r="RV9" s="76"/>
      <c r="RW9" s="76"/>
      <c r="RX9" s="76"/>
      <c r="RY9" s="76"/>
      <c r="RZ9" s="76"/>
      <c r="SA9" s="76"/>
      <c r="SB9" s="76"/>
      <c r="SC9" s="76"/>
      <c r="SD9" s="76"/>
      <c r="SE9" s="76"/>
      <c r="SF9" s="76"/>
      <c r="SG9" s="76"/>
      <c r="SH9" s="76"/>
      <c r="SI9" s="76"/>
      <c r="SJ9" s="76"/>
      <c r="SK9" s="76"/>
      <c r="SL9" s="76"/>
      <c r="SM9" s="76"/>
      <c r="SN9" s="76"/>
      <c r="SO9" s="76"/>
      <c r="SP9" s="76"/>
      <c r="SQ9" s="76"/>
      <c r="SR9" s="76"/>
      <c r="SS9" s="76"/>
      <c r="ST9" s="76"/>
      <c r="SU9" s="76"/>
      <c r="SV9" s="76"/>
      <c r="SW9" s="76"/>
      <c r="SX9" s="76"/>
      <c r="SY9" s="76"/>
      <c r="SZ9" s="76"/>
      <c r="TA9" s="76"/>
      <c r="TB9" s="76"/>
      <c r="TC9" s="76"/>
      <c r="TD9" s="76"/>
      <c r="TE9" s="76"/>
      <c r="TF9" s="76"/>
      <c r="TG9" s="76"/>
      <c r="TH9" s="76"/>
      <c r="TI9" s="76"/>
      <c r="TJ9" s="76"/>
      <c r="TK9" s="76"/>
      <c r="TL9" s="76"/>
      <c r="TM9" s="76"/>
      <c r="TN9" s="76"/>
      <c r="TO9" s="76"/>
      <c r="TP9" s="76"/>
      <c r="TQ9" s="76"/>
      <c r="TR9" s="76"/>
      <c r="TS9" s="76"/>
      <c r="TT9" s="76"/>
      <c r="TU9" s="76"/>
      <c r="TV9" s="76"/>
      <c r="TW9" s="76"/>
      <c r="TX9" s="76"/>
      <c r="TY9" s="76"/>
      <c r="TZ9" s="76"/>
      <c r="UA9" s="76"/>
      <c r="UB9" s="76"/>
      <c r="UC9" s="76"/>
      <c r="UD9" s="76"/>
      <c r="UE9" s="76"/>
      <c r="UF9" s="76"/>
      <c r="UG9" s="76"/>
      <c r="UH9" s="76"/>
      <c r="UI9" s="76"/>
      <c r="UJ9" s="76"/>
      <c r="UK9" s="76"/>
      <c r="UL9" s="76"/>
      <c r="UM9" s="76"/>
      <c r="UN9" s="76"/>
      <c r="UO9" s="76"/>
      <c r="UP9" s="76"/>
      <c r="UQ9" s="76"/>
      <c r="UR9" s="76"/>
      <c r="US9" s="76"/>
      <c r="UT9" s="76"/>
      <c r="UU9" s="76"/>
      <c r="UV9" s="76"/>
      <c r="UW9" s="76"/>
      <c r="UX9" s="76"/>
      <c r="UY9" s="76"/>
      <c r="UZ9" s="76"/>
      <c r="VA9" s="76"/>
      <c r="VB9" s="76"/>
      <c r="VC9" s="76"/>
      <c r="VD9" s="76"/>
      <c r="VE9" s="76"/>
      <c r="VF9" s="76"/>
      <c r="VG9" s="76"/>
      <c r="VH9" s="76"/>
      <c r="VI9" s="76"/>
      <c r="VJ9" s="76"/>
      <c r="VK9" s="76"/>
      <c r="VL9" s="76"/>
      <c r="VM9" s="76"/>
      <c r="VN9" s="76"/>
      <c r="VO9" s="76"/>
      <c r="VP9" s="76"/>
      <c r="VQ9" s="76"/>
      <c r="VR9" s="76"/>
      <c r="VS9" s="76"/>
      <c r="VT9" s="76"/>
      <c r="VU9" s="76"/>
      <c r="VV9" s="76"/>
      <c r="VW9" s="76"/>
      <c r="VX9" s="76"/>
      <c r="VY9" s="76"/>
      <c r="VZ9" s="76"/>
      <c r="WA9" s="76"/>
      <c r="WB9" s="76"/>
      <c r="WC9" s="76"/>
      <c r="WD9" s="76"/>
      <c r="WE9" s="76"/>
      <c r="WF9" s="76"/>
      <c r="WG9" s="76"/>
      <c r="WH9" s="76"/>
      <c r="WI9" s="76"/>
      <c r="WJ9" s="76"/>
      <c r="WK9" s="76"/>
      <c r="WL9" s="76"/>
      <c r="WM9" s="76"/>
      <c r="WN9" s="76"/>
      <c r="WO9" s="76"/>
      <c r="WP9" s="76"/>
      <c r="WQ9" s="76"/>
      <c r="WR9" s="76"/>
      <c r="WS9" s="76"/>
      <c r="WT9" s="76"/>
      <c r="WU9" s="76"/>
      <c r="WV9" s="76"/>
      <c r="WW9" s="76"/>
      <c r="WX9" s="76"/>
      <c r="WY9" s="76"/>
      <c r="WZ9" s="76"/>
      <c r="XA9" s="76"/>
      <c r="XB9" s="76"/>
      <c r="XC9" s="76"/>
      <c r="XD9" s="76"/>
      <c r="XE9" s="76"/>
      <c r="XF9" s="76"/>
      <c r="XG9" s="76"/>
      <c r="XH9" s="76"/>
      <c r="XI9" s="76"/>
      <c r="XJ9" s="76"/>
      <c r="XK9" s="76"/>
      <c r="XL9" s="76"/>
      <c r="XM9" s="76"/>
      <c r="XN9" s="76"/>
      <c r="XO9" s="76"/>
      <c r="XP9" s="76"/>
      <c r="XQ9" s="76"/>
      <c r="XR9" s="76"/>
      <c r="XS9" s="76"/>
      <c r="XT9" s="76"/>
      <c r="XU9" s="76"/>
      <c r="XV9" s="76"/>
      <c r="XW9" s="76"/>
      <c r="XX9" s="76"/>
      <c r="XY9" s="76"/>
      <c r="XZ9" s="76"/>
      <c r="YA9" s="76"/>
      <c r="YB9" s="76"/>
      <c r="YC9" s="76"/>
      <c r="YD9" s="76"/>
      <c r="YE9" s="76"/>
      <c r="YF9" s="76"/>
      <c r="YG9" s="76"/>
      <c r="YH9" s="76"/>
      <c r="YI9" s="76"/>
      <c r="YJ9" s="76"/>
      <c r="YK9" s="76"/>
      <c r="YL9" s="76"/>
      <c r="YM9" s="76"/>
      <c r="YN9" s="76"/>
      <c r="YO9" s="76"/>
      <c r="YP9" s="76"/>
      <c r="YQ9" s="76"/>
      <c r="YR9" s="76"/>
      <c r="YS9" s="76"/>
      <c r="YT9" s="76"/>
      <c r="YU9" s="76"/>
      <c r="YV9" s="76"/>
      <c r="YW9" s="76"/>
      <c r="YX9" s="76"/>
      <c r="YY9" s="76"/>
      <c r="YZ9" s="76"/>
      <c r="ZA9" s="76"/>
      <c r="ZB9" s="76"/>
      <c r="ZC9" s="76"/>
      <c r="ZD9" s="76"/>
      <c r="ZE9" s="76"/>
      <c r="ZF9" s="76"/>
      <c r="ZG9" s="76"/>
      <c r="ZH9" s="76"/>
      <c r="ZI9" s="76"/>
      <c r="ZJ9" s="76"/>
      <c r="ZK9" s="76"/>
      <c r="ZL9" s="76"/>
      <c r="ZM9" s="76"/>
      <c r="ZN9" s="76"/>
      <c r="ZO9" s="76"/>
      <c r="ZP9" s="76"/>
      <c r="ZQ9" s="76"/>
      <c r="ZR9" s="76"/>
      <c r="ZS9" s="76"/>
      <c r="ZT9" s="76"/>
      <c r="ZU9" s="76"/>
      <c r="ZV9" s="76"/>
      <c r="ZW9" s="76"/>
      <c r="ZX9" s="76"/>
      <c r="ZY9" s="76"/>
      <c r="ZZ9" s="76"/>
      <c r="AAA9" s="76"/>
      <c r="AAB9" s="76"/>
      <c r="AAC9" s="76"/>
      <c r="AAD9" s="76"/>
      <c r="AAE9" s="76"/>
      <c r="AAF9" s="76"/>
      <c r="AAG9" s="76"/>
      <c r="AAH9" s="76"/>
      <c r="AAI9" s="76"/>
      <c r="AAJ9" s="76"/>
      <c r="AAK9" s="76"/>
      <c r="AAL9" s="76"/>
      <c r="AAM9" s="76"/>
      <c r="AAN9" s="76"/>
      <c r="AAO9" s="76"/>
      <c r="AAP9" s="76"/>
      <c r="AAQ9" s="76"/>
      <c r="AAR9" s="76"/>
      <c r="AAS9" s="76"/>
      <c r="AAT9" s="76"/>
      <c r="AAU9" s="76"/>
      <c r="AAV9" s="76"/>
      <c r="AAW9" s="76"/>
      <c r="AAX9" s="76"/>
      <c r="AAY9" s="76"/>
      <c r="AAZ9" s="76"/>
      <c r="ABA9" s="76"/>
      <c r="ABB9" s="76"/>
      <c r="ABC9" s="76"/>
      <c r="ABD9" s="76"/>
      <c r="ABE9" s="76"/>
      <c r="ABF9" s="76"/>
      <c r="ABG9" s="76"/>
      <c r="ABH9" s="76"/>
      <c r="ABI9" s="76"/>
      <c r="ABJ9" s="76"/>
      <c r="ABK9" s="76"/>
      <c r="ABL9" s="76"/>
      <c r="ABM9" s="76"/>
      <c r="ABN9" s="76"/>
      <c r="ABO9" s="76"/>
      <c r="ABP9" s="76"/>
      <c r="ABQ9" s="76"/>
      <c r="ABR9" s="76"/>
      <c r="ABS9" s="76"/>
      <c r="ABT9" s="76"/>
      <c r="ABU9" s="76"/>
      <c r="ABV9" s="76"/>
      <c r="ABW9" s="76"/>
      <c r="ABX9" s="76"/>
      <c r="ABY9" s="76"/>
      <c r="ABZ9" s="76"/>
      <c r="ACA9" s="76"/>
      <c r="ACB9" s="76"/>
      <c r="ACC9" s="76"/>
      <c r="ACD9" s="76"/>
      <c r="ACE9" s="76"/>
      <c r="ACF9" s="76"/>
      <c r="ACG9" s="76"/>
      <c r="ACH9" s="76"/>
      <c r="ACI9" s="76"/>
      <c r="ACJ9" s="76"/>
      <c r="ACK9" s="76"/>
      <c r="ACL9" s="76"/>
      <c r="ACM9" s="76"/>
      <c r="ACN9" s="76"/>
      <c r="ACO9" s="76"/>
      <c r="ACP9" s="76"/>
      <c r="ACQ9" s="76"/>
      <c r="ACR9" s="76"/>
      <c r="ACS9" s="76"/>
      <c r="ACT9" s="76"/>
      <c r="ACU9" s="76"/>
      <c r="ACV9" s="76"/>
      <c r="ACW9" s="76"/>
      <c r="ACX9" s="76"/>
      <c r="ACY9" s="76"/>
      <c r="ACZ9" s="76"/>
      <c r="ADA9" s="76"/>
      <c r="ADB9" s="76"/>
      <c r="ADC9" s="76"/>
      <c r="ADD9" s="76"/>
      <c r="ADE9" s="76"/>
      <c r="ADF9" s="76"/>
      <c r="ADG9" s="76"/>
      <c r="ADH9" s="76"/>
      <c r="ADI9" s="76"/>
      <c r="ADJ9" s="76"/>
      <c r="ADK9" s="76"/>
      <c r="ADL9" s="76"/>
      <c r="ADM9" s="76"/>
      <c r="ADN9" s="76"/>
      <c r="ADO9" s="76"/>
      <c r="ADP9" s="76"/>
      <c r="ADQ9" s="76"/>
      <c r="ADR9" s="76"/>
      <c r="ADS9" s="76"/>
      <c r="ADT9" s="76"/>
      <c r="ADU9" s="76"/>
      <c r="ADV9" s="76"/>
      <c r="ADW9" s="76"/>
      <c r="ADX9" s="76"/>
      <c r="ADY9" s="76"/>
      <c r="ADZ9" s="76"/>
      <c r="AEA9" s="76"/>
      <c r="AEB9" s="76"/>
      <c r="AEC9" s="76"/>
      <c r="AED9" s="76"/>
      <c r="AEE9" s="76"/>
      <c r="AEF9" s="76"/>
      <c r="AEG9" s="76"/>
      <c r="AEH9" s="76"/>
      <c r="AEI9" s="76"/>
      <c r="AEJ9" s="76"/>
      <c r="AEK9" s="76"/>
      <c r="AEL9" s="76"/>
      <c r="AEM9" s="76"/>
      <c r="AEN9" s="76"/>
      <c r="AEO9" s="76"/>
      <c r="AEP9" s="76"/>
      <c r="AEQ9" s="76"/>
      <c r="AER9" s="76"/>
      <c r="AES9" s="76"/>
      <c r="AET9" s="76"/>
      <c r="AEU9" s="76"/>
      <c r="AEV9" s="76"/>
      <c r="AEW9" s="76"/>
      <c r="AEX9" s="76"/>
      <c r="AEY9" s="76"/>
      <c r="AEZ9" s="76"/>
      <c r="AFA9" s="76"/>
      <c r="AFB9" s="76"/>
      <c r="AFC9" s="76"/>
      <c r="AFD9" s="76"/>
    </row>
    <row r="10" spans="1:836" s="83" customFormat="1" ht="49.95" customHeight="1" x14ac:dyDescent="0.5">
      <c r="A10" s="76"/>
      <c r="B10" s="100" t="s">
        <v>550</v>
      </c>
      <c r="C10" s="77" t="s">
        <v>553</v>
      </c>
      <c r="D10" s="78"/>
      <c r="E10" s="89">
        <v>44136</v>
      </c>
      <c r="F10" s="90">
        <f t="shared" ref="F10" si="29">IF(ISBLANK(E10)," - ",IF(G10=0,E10,E10+G10-1))</f>
        <v>44136</v>
      </c>
      <c r="G10" s="79">
        <v>1</v>
      </c>
      <c r="H10" s="80"/>
      <c r="I10" s="81"/>
      <c r="J10" s="82"/>
      <c r="K10" s="76"/>
      <c r="L10" s="76"/>
      <c r="M10" s="84"/>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c r="KR10" s="76"/>
      <c r="KS10" s="76"/>
      <c r="KT10" s="76"/>
      <c r="KU10" s="76"/>
      <c r="KV10" s="76"/>
      <c r="KW10" s="76"/>
      <c r="KX10" s="76"/>
      <c r="KY10" s="76"/>
      <c r="KZ10" s="76"/>
      <c r="LA10" s="76"/>
      <c r="LB10" s="76"/>
      <c r="LC10" s="76"/>
      <c r="LD10" s="76"/>
      <c r="LE10" s="76"/>
      <c r="LF10" s="76"/>
      <c r="LG10" s="76"/>
      <c r="LH10" s="76"/>
      <c r="LI10" s="76"/>
      <c r="LJ10" s="76"/>
      <c r="LK10" s="76"/>
      <c r="LL10" s="76"/>
      <c r="LM10" s="76"/>
      <c r="LN10" s="76"/>
      <c r="LO10" s="76"/>
      <c r="LP10" s="76"/>
      <c r="LQ10" s="76"/>
      <c r="LR10" s="76"/>
      <c r="LS10" s="76"/>
      <c r="LT10" s="76"/>
      <c r="LU10" s="76"/>
      <c r="LV10" s="76"/>
      <c r="LW10" s="76"/>
      <c r="LX10" s="76"/>
      <c r="LY10" s="76"/>
      <c r="LZ10" s="76"/>
      <c r="MA10" s="76"/>
      <c r="MB10" s="76"/>
      <c r="MC10" s="76"/>
      <c r="MD10" s="76"/>
      <c r="ME10" s="76"/>
      <c r="MF10" s="76"/>
      <c r="MG10" s="76"/>
      <c r="MH10" s="76"/>
      <c r="MI10" s="76"/>
      <c r="MJ10" s="76"/>
      <c r="MK10" s="76"/>
      <c r="ML10" s="76"/>
      <c r="MM10" s="76"/>
      <c r="MN10" s="76"/>
      <c r="MO10" s="76"/>
      <c r="MP10" s="76"/>
      <c r="MQ10" s="76"/>
      <c r="MR10" s="76"/>
      <c r="MS10" s="76"/>
      <c r="MT10" s="76"/>
      <c r="MU10" s="76"/>
      <c r="MV10" s="76"/>
      <c r="MW10" s="76"/>
      <c r="MX10" s="76"/>
      <c r="MY10" s="76"/>
      <c r="MZ10" s="76"/>
      <c r="NA10" s="76"/>
      <c r="NB10" s="76"/>
      <c r="NC10" s="76"/>
      <c r="ND10" s="76"/>
      <c r="NE10" s="76"/>
      <c r="NF10" s="76"/>
      <c r="NG10" s="76"/>
      <c r="NH10" s="76"/>
      <c r="NI10" s="76"/>
      <c r="NJ10" s="76"/>
      <c r="NK10" s="76"/>
      <c r="NL10" s="76"/>
      <c r="NM10" s="76"/>
      <c r="NN10" s="76"/>
      <c r="NO10" s="76"/>
      <c r="NP10" s="76"/>
      <c r="NQ10" s="76"/>
      <c r="NR10" s="76"/>
      <c r="NS10" s="76"/>
      <c r="NT10" s="76"/>
      <c r="NU10" s="76"/>
      <c r="NV10" s="76"/>
      <c r="NW10" s="76"/>
      <c r="NX10" s="76"/>
      <c r="NY10" s="76"/>
      <c r="NZ10" s="76"/>
      <c r="OA10" s="76"/>
      <c r="OB10" s="76"/>
      <c r="OC10" s="76"/>
      <c r="OD10" s="76"/>
      <c r="OE10" s="76"/>
      <c r="OF10" s="76"/>
      <c r="OG10" s="76"/>
      <c r="OH10" s="76"/>
      <c r="OI10" s="76"/>
      <c r="OJ10" s="76"/>
      <c r="OK10" s="76"/>
      <c r="OL10" s="76"/>
      <c r="OM10" s="76"/>
      <c r="ON10" s="76"/>
      <c r="OO10" s="76"/>
      <c r="OP10" s="76"/>
      <c r="OQ10" s="76"/>
      <c r="OR10" s="76"/>
      <c r="OS10" s="76"/>
      <c r="OT10" s="76"/>
      <c r="OU10" s="76"/>
      <c r="OV10" s="76"/>
      <c r="OW10" s="76"/>
      <c r="OX10" s="76"/>
      <c r="OY10" s="76"/>
      <c r="OZ10" s="76"/>
      <c r="PA10" s="76"/>
      <c r="PB10" s="76"/>
      <c r="PC10" s="76"/>
      <c r="PD10" s="76"/>
      <c r="PE10" s="76"/>
      <c r="PF10" s="76"/>
      <c r="PG10" s="76"/>
      <c r="PH10" s="76"/>
      <c r="PI10" s="76"/>
      <c r="PJ10" s="76"/>
      <c r="PK10" s="76"/>
      <c r="PL10" s="76"/>
      <c r="PM10" s="76"/>
      <c r="PN10" s="76"/>
      <c r="PO10" s="76"/>
      <c r="PP10" s="76"/>
      <c r="PQ10" s="76"/>
      <c r="PR10" s="76"/>
      <c r="PS10" s="76"/>
      <c r="PT10" s="76"/>
      <c r="PU10" s="76"/>
      <c r="PV10" s="76"/>
      <c r="PW10" s="76"/>
      <c r="PX10" s="76"/>
      <c r="PY10" s="76"/>
      <c r="PZ10" s="76"/>
      <c r="QA10" s="76"/>
      <c r="QB10" s="76"/>
      <c r="QC10" s="76"/>
      <c r="QD10" s="76"/>
      <c r="QE10" s="76"/>
      <c r="QF10" s="76"/>
      <c r="QG10" s="76"/>
      <c r="QH10" s="76"/>
      <c r="QI10" s="76"/>
      <c r="QJ10" s="76"/>
      <c r="QK10" s="76"/>
      <c r="QL10" s="76"/>
      <c r="QM10" s="76"/>
      <c r="QN10" s="76"/>
      <c r="QO10" s="76"/>
      <c r="QP10" s="76"/>
      <c r="QQ10" s="76"/>
      <c r="QR10" s="76"/>
      <c r="QS10" s="76"/>
      <c r="QT10" s="76"/>
      <c r="QU10" s="76"/>
      <c r="QV10" s="76"/>
      <c r="QW10" s="76"/>
      <c r="QX10" s="76"/>
      <c r="QY10" s="76"/>
      <c r="QZ10" s="76"/>
      <c r="RA10" s="76"/>
      <c r="RB10" s="76"/>
      <c r="RC10" s="76"/>
      <c r="RD10" s="76"/>
      <c r="RE10" s="76"/>
      <c r="RF10" s="76"/>
      <c r="RG10" s="76"/>
      <c r="RH10" s="76"/>
      <c r="RI10" s="76"/>
      <c r="RJ10" s="76"/>
      <c r="RK10" s="76"/>
      <c r="RL10" s="76"/>
      <c r="RM10" s="76"/>
      <c r="RN10" s="76"/>
      <c r="RO10" s="76"/>
      <c r="RP10" s="76"/>
      <c r="RQ10" s="76"/>
      <c r="RR10" s="76"/>
      <c r="RS10" s="76"/>
      <c r="RT10" s="76"/>
      <c r="RU10" s="76"/>
      <c r="RV10" s="76"/>
      <c r="RW10" s="76"/>
      <c r="RX10" s="76"/>
      <c r="RY10" s="76"/>
      <c r="RZ10" s="76"/>
      <c r="SA10" s="76"/>
      <c r="SB10" s="76"/>
      <c r="SC10" s="76"/>
      <c r="SD10" s="76"/>
      <c r="SE10" s="76"/>
      <c r="SF10" s="76"/>
      <c r="SG10" s="76"/>
      <c r="SH10" s="76"/>
      <c r="SI10" s="76"/>
      <c r="SJ10" s="76"/>
      <c r="SK10" s="76"/>
      <c r="SL10" s="76"/>
      <c r="SM10" s="76"/>
      <c r="SN10" s="76"/>
      <c r="SO10" s="76"/>
      <c r="SP10" s="76"/>
      <c r="SQ10" s="76"/>
      <c r="SR10" s="76"/>
      <c r="SS10" s="76"/>
      <c r="ST10" s="76"/>
      <c r="SU10" s="76"/>
      <c r="SV10" s="76"/>
      <c r="SW10" s="76"/>
      <c r="SX10" s="76"/>
      <c r="SY10" s="76"/>
      <c r="SZ10" s="76"/>
      <c r="TA10" s="76"/>
      <c r="TB10" s="76"/>
      <c r="TC10" s="76"/>
      <c r="TD10" s="76"/>
      <c r="TE10" s="76"/>
      <c r="TF10" s="76"/>
      <c r="TG10" s="76"/>
      <c r="TH10" s="76"/>
      <c r="TI10" s="76"/>
      <c r="TJ10" s="76"/>
      <c r="TK10" s="76"/>
      <c r="TL10" s="76"/>
      <c r="TM10" s="76"/>
      <c r="TN10" s="76"/>
      <c r="TO10" s="76"/>
      <c r="TP10" s="76"/>
      <c r="TQ10" s="76"/>
      <c r="TR10" s="76"/>
      <c r="TS10" s="76"/>
      <c r="TT10" s="76"/>
      <c r="TU10" s="76"/>
      <c r="TV10" s="76"/>
      <c r="TW10" s="76"/>
      <c r="TX10" s="76"/>
      <c r="TY10" s="76"/>
      <c r="TZ10" s="76"/>
      <c r="UA10" s="76"/>
      <c r="UB10" s="76"/>
      <c r="UC10" s="76"/>
      <c r="UD10" s="76"/>
      <c r="UE10" s="76"/>
      <c r="UF10" s="76"/>
      <c r="UG10" s="76"/>
      <c r="UH10" s="76"/>
      <c r="UI10" s="76"/>
      <c r="UJ10" s="76"/>
      <c r="UK10" s="76"/>
      <c r="UL10" s="76"/>
      <c r="UM10" s="76"/>
      <c r="UN10" s="76"/>
      <c r="UO10" s="76"/>
      <c r="UP10" s="76"/>
      <c r="UQ10" s="76"/>
      <c r="UR10" s="76"/>
      <c r="US10" s="76"/>
      <c r="UT10" s="76"/>
      <c r="UU10" s="76"/>
      <c r="UV10" s="76"/>
      <c r="UW10" s="76"/>
      <c r="UX10" s="76"/>
      <c r="UY10" s="76"/>
      <c r="UZ10" s="76"/>
      <c r="VA10" s="76"/>
      <c r="VB10" s="76"/>
      <c r="VC10" s="76"/>
      <c r="VD10" s="76"/>
      <c r="VE10" s="76"/>
      <c r="VF10" s="76"/>
      <c r="VG10" s="76"/>
      <c r="VH10" s="76"/>
      <c r="VI10" s="76"/>
      <c r="VJ10" s="76"/>
      <c r="VK10" s="76"/>
      <c r="VL10" s="76"/>
      <c r="VM10" s="76"/>
      <c r="VN10" s="76"/>
      <c r="VO10" s="76"/>
      <c r="VP10" s="76"/>
      <c r="VQ10" s="76"/>
      <c r="VR10" s="76"/>
      <c r="VS10" s="76"/>
      <c r="VT10" s="76"/>
      <c r="VU10" s="76"/>
      <c r="VV10" s="76"/>
      <c r="VW10" s="76"/>
      <c r="VX10" s="76"/>
      <c r="VY10" s="76"/>
      <c r="VZ10" s="76"/>
      <c r="WA10" s="76"/>
      <c r="WB10" s="76"/>
      <c r="WC10" s="76"/>
      <c r="WD10" s="76"/>
      <c r="WE10" s="76"/>
      <c r="WF10" s="76"/>
      <c r="WG10" s="76"/>
      <c r="WH10" s="76"/>
      <c r="WI10" s="76"/>
      <c r="WJ10" s="76"/>
      <c r="WK10" s="76"/>
      <c r="WL10" s="76"/>
      <c r="WM10" s="76"/>
      <c r="WN10" s="76"/>
      <c r="WO10" s="76"/>
      <c r="WP10" s="76"/>
      <c r="WQ10" s="76"/>
      <c r="WR10" s="76"/>
      <c r="WS10" s="76"/>
      <c r="WT10" s="76"/>
      <c r="WU10" s="76"/>
      <c r="WV10" s="76"/>
      <c r="WW10" s="76"/>
      <c r="WX10" s="76"/>
      <c r="WY10" s="76"/>
      <c r="WZ10" s="76"/>
      <c r="XA10" s="76"/>
      <c r="XB10" s="76"/>
      <c r="XC10" s="76"/>
      <c r="XD10" s="76"/>
      <c r="XE10" s="76"/>
      <c r="XF10" s="76"/>
      <c r="XG10" s="76"/>
      <c r="XH10" s="76"/>
      <c r="XI10" s="76"/>
      <c r="XJ10" s="76"/>
      <c r="XK10" s="76"/>
      <c r="XL10" s="76"/>
      <c r="XM10" s="76"/>
      <c r="XN10" s="76"/>
      <c r="XO10" s="76"/>
      <c r="XP10" s="76"/>
      <c r="XQ10" s="76"/>
      <c r="XR10" s="76"/>
      <c r="XS10" s="76"/>
      <c r="XT10" s="76"/>
      <c r="XU10" s="76"/>
      <c r="XV10" s="76"/>
      <c r="XW10" s="76"/>
      <c r="XX10" s="76"/>
      <c r="XY10" s="76"/>
      <c r="XZ10" s="76"/>
      <c r="YA10" s="76"/>
      <c r="YB10" s="76"/>
      <c r="YC10" s="76"/>
      <c r="YD10" s="76"/>
      <c r="YE10" s="76"/>
      <c r="YF10" s="76"/>
      <c r="YG10" s="76"/>
      <c r="YH10" s="76"/>
      <c r="YI10" s="76"/>
      <c r="YJ10" s="76"/>
      <c r="YK10" s="76"/>
      <c r="YL10" s="76"/>
      <c r="YM10" s="76"/>
      <c r="YN10" s="76"/>
      <c r="YO10" s="76"/>
      <c r="YP10" s="76"/>
      <c r="YQ10" s="76"/>
      <c r="YR10" s="76"/>
      <c r="YS10" s="76"/>
      <c r="YT10" s="76"/>
      <c r="YU10" s="76"/>
      <c r="YV10" s="76"/>
      <c r="YW10" s="76"/>
      <c r="YX10" s="76"/>
      <c r="YY10" s="76"/>
      <c r="YZ10" s="76"/>
      <c r="ZA10" s="76"/>
      <c r="ZB10" s="76"/>
      <c r="ZC10" s="76"/>
      <c r="ZD10" s="76"/>
      <c r="ZE10" s="76"/>
      <c r="ZF10" s="76"/>
      <c r="ZG10" s="76"/>
      <c r="ZH10" s="76"/>
      <c r="ZI10" s="76"/>
      <c r="ZJ10" s="76"/>
      <c r="ZK10" s="76"/>
      <c r="ZL10" s="76"/>
      <c r="ZM10" s="76"/>
      <c r="ZN10" s="76"/>
      <c r="ZO10" s="76"/>
      <c r="ZP10" s="76"/>
      <c r="ZQ10" s="76"/>
      <c r="ZR10" s="76"/>
      <c r="ZS10" s="76"/>
      <c r="ZT10" s="76"/>
      <c r="ZU10" s="76"/>
      <c r="ZV10" s="76"/>
      <c r="ZW10" s="76"/>
      <c r="ZX10" s="76"/>
      <c r="ZY10" s="76"/>
      <c r="ZZ10" s="76"/>
      <c r="AAA10" s="76"/>
      <c r="AAB10" s="76"/>
      <c r="AAC10" s="76"/>
      <c r="AAD10" s="76"/>
      <c r="AAE10" s="76"/>
      <c r="AAF10" s="76"/>
      <c r="AAG10" s="76"/>
      <c r="AAH10" s="76"/>
      <c r="AAI10" s="76"/>
      <c r="AAJ10" s="76"/>
      <c r="AAK10" s="76"/>
      <c r="AAL10" s="76"/>
      <c r="AAM10" s="76"/>
      <c r="AAN10" s="76"/>
      <c r="AAO10" s="76"/>
      <c r="AAP10" s="76"/>
      <c r="AAQ10" s="76"/>
      <c r="AAR10" s="76"/>
      <c r="AAS10" s="76"/>
      <c r="AAT10" s="76"/>
      <c r="AAU10" s="76"/>
      <c r="AAV10" s="76"/>
      <c r="AAW10" s="76"/>
      <c r="AAX10" s="76"/>
      <c r="AAY10" s="76"/>
      <c r="AAZ10" s="76"/>
      <c r="ABA10" s="76"/>
      <c r="ABB10" s="76"/>
      <c r="ABC10" s="76"/>
      <c r="ABD10" s="76"/>
      <c r="ABE10" s="76"/>
      <c r="ABF10" s="76"/>
      <c r="ABG10" s="76"/>
      <c r="ABH10" s="76"/>
      <c r="ABI10" s="76"/>
      <c r="ABJ10" s="76"/>
      <c r="ABK10" s="76"/>
      <c r="ABL10" s="76"/>
      <c r="ABM10" s="76"/>
      <c r="ABN10" s="76"/>
      <c r="ABO10" s="76"/>
      <c r="ABP10" s="76"/>
      <c r="ABQ10" s="76"/>
      <c r="ABR10" s="76"/>
      <c r="ABS10" s="76"/>
      <c r="ABT10" s="76"/>
      <c r="ABU10" s="76"/>
      <c r="ABV10" s="76"/>
      <c r="ABW10" s="76"/>
      <c r="ABX10" s="76"/>
      <c r="ABY10" s="76"/>
      <c r="ABZ10" s="76"/>
      <c r="ACA10" s="76"/>
      <c r="ACB10" s="76"/>
      <c r="ACC10" s="76"/>
      <c r="ACD10" s="76"/>
      <c r="ACE10" s="76"/>
      <c r="ACF10" s="76"/>
      <c r="ACG10" s="76"/>
      <c r="ACH10" s="76"/>
      <c r="ACI10" s="76"/>
      <c r="ACJ10" s="76"/>
      <c r="ACK10" s="76"/>
      <c r="ACL10" s="76"/>
      <c r="ACM10" s="76"/>
      <c r="ACN10" s="76"/>
      <c r="ACO10" s="76"/>
      <c r="ACP10" s="76"/>
      <c r="ACQ10" s="76"/>
      <c r="ACR10" s="76"/>
      <c r="ACS10" s="76"/>
      <c r="ACT10" s="76"/>
      <c r="ACU10" s="76"/>
      <c r="ACV10" s="76"/>
      <c r="ACW10" s="76"/>
      <c r="ACX10" s="76"/>
      <c r="ACY10" s="76"/>
      <c r="ACZ10" s="76"/>
      <c r="ADA10" s="76"/>
      <c r="ADB10" s="76"/>
      <c r="ADC10" s="76"/>
      <c r="ADD10" s="76"/>
      <c r="ADE10" s="76"/>
      <c r="ADF10" s="76"/>
      <c r="ADG10" s="76"/>
      <c r="ADH10" s="76"/>
      <c r="ADI10" s="76"/>
      <c r="ADJ10" s="76"/>
      <c r="ADK10" s="76"/>
      <c r="ADL10" s="76"/>
      <c r="ADM10" s="76"/>
      <c r="ADN10" s="76"/>
      <c r="ADO10" s="76"/>
      <c r="ADP10" s="76"/>
      <c r="ADQ10" s="76"/>
      <c r="ADR10" s="76"/>
      <c r="ADS10" s="76"/>
      <c r="ADT10" s="76"/>
      <c r="ADU10" s="76"/>
      <c r="ADV10" s="76"/>
      <c r="ADW10" s="76"/>
      <c r="ADX10" s="76"/>
      <c r="ADY10" s="76"/>
      <c r="ADZ10" s="76"/>
      <c r="AEA10" s="76"/>
      <c r="AEB10" s="76"/>
      <c r="AEC10" s="76"/>
      <c r="AED10" s="76"/>
      <c r="AEE10" s="76"/>
      <c r="AEF10" s="76"/>
      <c r="AEG10" s="76"/>
      <c r="AEH10" s="76"/>
      <c r="AEI10" s="76"/>
      <c r="AEJ10" s="76"/>
      <c r="AEK10" s="76"/>
      <c r="AEL10" s="76"/>
      <c r="AEM10" s="76"/>
      <c r="AEN10" s="76"/>
      <c r="AEO10" s="76"/>
      <c r="AEP10" s="76"/>
      <c r="AEQ10" s="76"/>
      <c r="AER10" s="76"/>
      <c r="AES10" s="76"/>
      <c r="AET10" s="76"/>
      <c r="AEU10" s="76"/>
      <c r="AEV10" s="76"/>
      <c r="AEW10" s="76"/>
      <c r="AEX10" s="76"/>
      <c r="AEY10" s="76"/>
      <c r="AEZ10" s="76"/>
      <c r="AFA10" s="76"/>
      <c r="AFB10" s="76"/>
      <c r="AFC10" s="76"/>
      <c r="AFD10" s="76"/>
    </row>
    <row r="11" spans="1:836" s="83" customFormat="1" ht="49.95" customHeight="1" x14ac:dyDescent="0.5">
      <c r="A11" s="76" t="str">
        <f t="shared" si="28"/>
        <v>0.1</v>
      </c>
      <c r="B11" s="100" t="s">
        <v>551</v>
      </c>
      <c r="C11" s="77" t="s">
        <v>553</v>
      </c>
      <c r="D11" s="78"/>
      <c r="E11" s="89">
        <v>44150</v>
      </c>
      <c r="F11" s="90">
        <f t="shared" si="27"/>
        <v>44150</v>
      </c>
      <c r="G11" s="79">
        <v>1</v>
      </c>
      <c r="H11" s="80">
        <v>1</v>
      </c>
      <c r="I11" s="81"/>
      <c r="J11" s="82"/>
      <c r="K11" s="76"/>
      <c r="L11" s="76"/>
      <c r="M11" s="84"/>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c r="QQ11" s="76"/>
      <c r="QR11" s="76"/>
      <c r="QS11" s="76"/>
      <c r="QT11" s="76"/>
      <c r="QU11" s="76"/>
      <c r="QV11" s="76"/>
      <c r="QW11" s="76"/>
      <c r="QX11" s="76"/>
      <c r="QY11" s="76"/>
      <c r="QZ11" s="76"/>
      <c r="RA11" s="76"/>
      <c r="RB11" s="76"/>
      <c r="RC11" s="76"/>
      <c r="RD11" s="76"/>
      <c r="RE11" s="76"/>
      <c r="RF11" s="76"/>
      <c r="RG11" s="76"/>
      <c r="RH11" s="76"/>
      <c r="RI11" s="76"/>
      <c r="RJ11" s="76"/>
      <c r="RK11" s="76"/>
      <c r="RL11" s="76"/>
      <c r="RM11" s="76"/>
      <c r="RN11" s="76"/>
      <c r="RO11" s="76"/>
      <c r="RP11" s="76"/>
      <c r="RQ11" s="76"/>
      <c r="RR11" s="76"/>
      <c r="RS11" s="76"/>
      <c r="RT11" s="76"/>
      <c r="RU11" s="76"/>
      <c r="RV11" s="76"/>
      <c r="RW11" s="76"/>
      <c r="RX11" s="76"/>
      <c r="RY11" s="76"/>
      <c r="RZ11" s="76"/>
      <c r="SA11" s="76"/>
      <c r="SB11" s="76"/>
      <c r="SC11" s="76"/>
      <c r="SD11" s="76"/>
      <c r="SE11" s="76"/>
      <c r="SF11" s="76"/>
      <c r="SG11" s="76"/>
      <c r="SH11" s="76"/>
      <c r="SI11" s="76"/>
      <c r="SJ11" s="76"/>
      <c r="SK11" s="76"/>
      <c r="SL11" s="76"/>
      <c r="SM11" s="76"/>
      <c r="SN11" s="76"/>
      <c r="SO11" s="76"/>
      <c r="SP11" s="76"/>
      <c r="SQ11" s="76"/>
      <c r="SR11" s="76"/>
      <c r="SS11" s="76"/>
      <c r="ST11" s="76"/>
      <c r="SU11" s="76"/>
      <c r="SV11" s="76"/>
      <c r="SW11" s="76"/>
      <c r="SX11" s="76"/>
      <c r="SY11" s="76"/>
      <c r="SZ11" s="76"/>
      <c r="TA11" s="76"/>
      <c r="TB11" s="76"/>
      <c r="TC11" s="76"/>
      <c r="TD11" s="76"/>
      <c r="TE11" s="76"/>
      <c r="TF11" s="76"/>
      <c r="TG11" s="76"/>
      <c r="TH11" s="76"/>
      <c r="TI11" s="76"/>
      <c r="TJ11" s="76"/>
      <c r="TK11" s="76"/>
      <c r="TL11" s="76"/>
      <c r="TM11" s="76"/>
      <c r="TN11" s="76"/>
      <c r="TO11" s="76"/>
      <c r="TP11" s="76"/>
      <c r="TQ11" s="76"/>
      <c r="TR11" s="76"/>
      <c r="TS11" s="76"/>
      <c r="TT11" s="76"/>
      <c r="TU11" s="76"/>
      <c r="TV11" s="76"/>
      <c r="TW11" s="76"/>
      <c r="TX11" s="76"/>
      <c r="TY11" s="76"/>
      <c r="TZ11" s="76"/>
      <c r="UA11" s="76"/>
      <c r="UB11" s="76"/>
      <c r="UC11" s="76"/>
      <c r="UD11" s="76"/>
      <c r="UE11" s="76"/>
      <c r="UF11" s="76"/>
      <c r="UG11" s="76"/>
      <c r="UH11" s="76"/>
      <c r="UI11" s="76"/>
      <c r="UJ11" s="76"/>
      <c r="UK11" s="76"/>
      <c r="UL11" s="76"/>
      <c r="UM11" s="76"/>
      <c r="UN11" s="76"/>
      <c r="UO11" s="76"/>
      <c r="UP11" s="76"/>
      <c r="UQ11" s="76"/>
      <c r="UR11" s="76"/>
      <c r="US11" s="76"/>
      <c r="UT11" s="76"/>
      <c r="UU11" s="76"/>
      <c r="UV11" s="76"/>
      <c r="UW11" s="76"/>
      <c r="UX11" s="76"/>
      <c r="UY11" s="76"/>
      <c r="UZ11" s="76"/>
      <c r="VA11" s="76"/>
      <c r="VB11" s="76"/>
      <c r="VC11" s="76"/>
      <c r="VD11" s="76"/>
      <c r="VE11" s="76"/>
      <c r="VF11" s="76"/>
      <c r="VG11" s="76"/>
      <c r="VH11" s="76"/>
      <c r="VI11" s="76"/>
      <c r="VJ11" s="76"/>
      <c r="VK11" s="76"/>
      <c r="VL11" s="76"/>
      <c r="VM11" s="76"/>
      <c r="VN11" s="76"/>
      <c r="VO11" s="76"/>
      <c r="VP11" s="76"/>
      <c r="VQ11" s="76"/>
      <c r="VR11" s="76"/>
      <c r="VS11" s="76"/>
      <c r="VT11" s="76"/>
      <c r="VU11" s="76"/>
      <c r="VV11" s="76"/>
      <c r="VW11" s="76"/>
      <c r="VX11" s="76"/>
      <c r="VY11" s="76"/>
      <c r="VZ11" s="76"/>
      <c r="WA11" s="76"/>
      <c r="WB11" s="76"/>
      <c r="WC11" s="76"/>
      <c r="WD11" s="76"/>
      <c r="WE11" s="76"/>
      <c r="WF11" s="76"/>
      <c r="WG11" s="76"/>
      <c r="WH11" s="76"/>
      <c r="WI11" s="76"/>
      <c r="WJ11" s="76"/>
      <c r="WK11" s="76"/>
      <c r="WL11" s="76"/>
      <c r="WM11" s="76"/>
      <c r="WN11" s="76"/>
      <c r="WO11" s="76"/>
      <c r="WP11" s="76"/>
      <c r="WQ11" s="76"/>
      <c r="WR11" s="76"/>
      <c r="WS11" s="76"/>
      <c r="WT11" s="76"/>
      <c r="WU11" s="76"/>
      <c r="WV11" s="76"/>
      <c r="WW11" s="76"/>
      <c r="WX11" s="76"/>
      <c r="WY11" s="76"/>
      <c r="WZ11" s="76"/>
      <c r="XA11" s="76"/>
      <c r="XB11" s="76"/>
      <c r="XC11" s="76"/>
      <c r="XD11" s="76"/>
      <c r="XE11" s="76"/>
      <c r="XF11" s="76"/>
      <c r="XG11" s="76"/>
      <c r="XH11" s="76"/>
      <c r="XI11" s="76"/>
      <c r="XJ11" s="76"/>
      <c r="XK11" s="76"/>
      <c r="XL11" s="76"/>
      <c r="XM11" s="76"/>
      <c r="XN11" s="76"/>
      <c r="XO11" s="76"/>
      <c r="XP11" s="76"/>
      <c r="XQ11" s="76"/>
      <c r="XR11" s="76"/>
      <c r="XS11" s="76"/>
      <c r="XT11" s="76"/>
      <c r="XU11" s="76"/>
      <c r="XV11" s="76"/>
      <c r="XW11" s="76"/>
      <c r="XX11" s="76"/>
      <c r="XY11" s="76"/>
      <c r="XZ11" s="76"/>
      <c r="YA11" s="76"/>
      <c r="YB11" s="76"/>
      <c r="YC11" s="76"/>
      <c r="YD11" s="76"/>
      <c r="YE11" s="76"/>
      <c r="YF11" s="76"/>
      <c r="YG11" s="76"/>
      <c r="YH11" s="76"/>
      <c r="YI11" s="76"/>
      <c r="YJ11" s="76"/>
      <c r="YK11" s="76"/>
      <c r="YL11" s="76"/>
      <c r="YM11" s="76"/>
      <c r="YN11" s="76"/>
      <c r="YO11" s="76"/>
      <c r="YP11" s="76"/>
      <c r="YQ11" s="76"/>
      <c r="YR11" s="76"/>
      <c r="YS11" s="76"/>
      <c r="YT11" s="76"/>
      <c r="YU11" s="76"/>
      <c r="YV11" s="76"/>
      <c r="YW11" s="76"/>
      <c r="YX11" s="76"/>
      <c r="YY11" s="76"/>
      <c r="YZ11" s="76"/>
      <c r="ZA11" s="76"/>
      <c r="ZB11" s="76"/>
      <c r="ZC11" s="76"/>
      <c r="ZD11" s="76"/>
      <c r="ZE11" s="76"/>
      <c r="ZF11" s="76"/>
      <c r="ZG11" s="76"/>
      <c r="ZH11" s="76"/>
      <c r="ZI11" s="76"/>
      <c r="ZJ11" s="76"/>
      <c r="ZK11" s="76"/>
      <c r="ZL11" s="76"/>
      <c r="ZM11" s="76"/>
      <c r="ZN11" s="76"/>
      <c r="ZO11" s="76"/>
      <c r="ZP11" s="76"/>
      <c r="ZQ11" s="76"/>
      <c r="ZR11" s="76"/>
      <c r="ZS11" s="76"/>
      <c r="ZT11" s="76"/>
      <c r="ZU11" s="76"/>
      <c r="ZV11" s="76"/>
      <c r="ZW11" s="76"/>
      <c r="ZX11" s="76"/>
      <c r="ZY11" s="76"/>
      <c r="ZZ11" s="76"/>
      <c r="AAA11" s="76"/>
      <c r="AAB11" s="76"/>
      <c r="AAC11" s="76"/>
      <c r="AAD11" s="76"/>
      <c r="AAE11" s="76"/>
      <c r="AAF11" s="76"/>
      <c r="AAG11" s="76"/>
      <c r="AAH11" s="76"/>
      <c r="AAI11" s="76"/>
      <c r="AAJ11" s="76"/>
      <c r="AAK11" s="76"/>
      <c r="AAL11" s="76"/>
      <c r="AAM11" s="76"/>
      <c r="AAN11" s="76"/>
      <c r="AAO11" s="76"/>
      <c r="AAP11" s="76"/>
      <c r="AAQ11" s="76"/>
      <c r="AAR11" s="76"/>
      <c r="AAS11" s="76"/>
      <c r="AAT11" s="76"/>
      <c r="AAU11" s="76"/>
      <c r="AAV11" s="76"/>
      <c r="AAW11" s="76"/>
      <c r="AAX11" s="76"/>
      <c r="AAY11" s="76"/>
      <c r="AAZ11" s="76"/>
      <c r="ABA11" s="76"/>
      <c r="ABB11" s="76"/>
      <c r="ABC11" s="76"/>
      <c r="ABD11" s="76"/>
      <c r="ABE11" s="76"/>
      <c r="ABF11" s="76"/>
      <c r="ABG11" s="76"/>
      <c r="ABH11" s="76"/>
      <c r="ABI11" s="76"/>
      <c r="ABJ11" s="76"/>
      <c r="ABK11" s="76"/>
      <c r="ABL11" s="76"/>
      <c r="ABM11" s="76"/>
      <c r="ABN11" s="76"/>
      <c r="ABO11" s="76"/>
      <c r="ABP11" s="76"/>
      <c r="ABQ11" s="76"/>
      <c r="ABR11" s="76"/>
      <c r="ABS11" s="76"/>
      <c r="ABT11" s="76"/>
      <c r="ABU11" s="76"/>
      <c r="ABV11" s="76"/>
      <c r="ABW11" s="76"/>
      <c r="ABX11" s="76"/>
      <c r="ABY11" s="76"/>
      <c r="ABZ11" s="76"/>
      <c r="ACA11" s="76"/>
      <c r="ACB11" s="76"/>
      <c r="ACC11" s="76"/>
      <c r="ACD11" s="76"/>
      <c r="ACE11" s="76"/>
      <c r="ACF11" s="76"/>
      <c r="ACG11" s="76"/>
      <c r="ACH11" s="76"/>
      <c r="ACI11" s="76"/>
      <c r="ACJ11" s="76"/>
      <c r="ACK11" s="76"/>
      <c r="ACL11" s="76"/>
      <c r="ACM11" s="76"/>
      <c r="ACN11" s="76"/>
      <c r="ACO11" s="76"/>
      <c r="ACP11" s="76"/>
      <c r="ACQ11" s="76"/>
      <c r="ACR11" s="76"/>
      <c r="ACS11" s="76"/>
      <c r="ACT11" s="76"/>
      <c r="ACU11" s="76"/>
      <c r="ACV11" s="76"/>
      <c r="ACW11" s="76"/>
      <c r="ACX11" s="76"/>
      <c r="ACY11" s="76"/>
      <c r="ACZ11" s="76"/>
      <c r="ADA11" s="76"/>
      <c r="ADB11" s="76"/>
      <c r="ADC11" s="76"/>
      <c r="ADD11" s="76"/>
      <c r="ADE11" s="76"/>
      <c r="ADF11" s="76"/>
      <c r="ADG11" s="76"/>
      <c r="ADH11" s="76"/>
      <c r="ADI11" s="76"/>
      <c r="ADJ11" s="76"/>
      <c r="ADK11" s="76"/>
      <c r="ADL11" s="76"/>
      <c r="ADM11" s="76"/>
      <c r="ADN11" s="76"/>
      <c r="ADO11" s="76"/>
      <c r="ADP11" s="76"/>
      <c r="ADQ11" s="76"/>
      <c r="ADR11" s="76"/>
      <c r="ADS11" s="76"/>
      <c r="ADT11" s="76"/>
      <c r="ADU11" s="76"/>
      <c r="ADV11" s="76"/>
      <c r="ADW11" s="76"/>
      <c r="ADX11" s="76"/>
      <c r="ADY11" s="76"/>
      <c r="ADZ11" s="76"/>
      <c r="AEA11" s="76"/>
      <c r="AEB11" s="76"/>
      <c r="AEC11" s="76"/>
      <c r="AED11" s="76"/>
      <c r="AEE11" s="76"/>
      <c r="AEF11" s="76"/>
      <c r="AEG11" s="76"/>
      <c r="AEH11" s="76"/>
      <c r="AEI11" s="76"/>
      <c r="AEJ11" s="76"/>
      <c r="AEK11" s="76"/>
      <c r="AEL11" s="76"/>
      <c r="AEM11" s="76"/>
      <c r="AEN11" s="76"/>
      <c r="AEO11" s="76"/>
      <c r="AEP11" s="76"/>
      <c r="AEQ11" s="76"/>
      <c r="AER11" s="76"/>
      <c r="AES11" s="76"/>
      <c r="AET11" s="76"/>
      <c r="AEU11" s="76"/>
      <c r="AEV11" s="76"/>
      <c r="AEW11" s="76"/>
      <c r="AEX11" s="76"/>
      <c r="AEY11" s="76"/>
      <c r="AEZ11" s="76"/>
      <c r="AFA11" s="76"/>
      <c r="AFB11" s="76"/>
      <c r="AFC11" s="76"/>
      <c r="AFD11" s="76"/>
    </row>
    <row r="12" spans="1:836" s="83" customFormat="1" ht="99" customHeight="1" x14ac:dyDescent="0.5">
      <c r="A12" s="76" t="str">
        <f t="shared" si="28"/>
        <v>0.2</v>
      </c>
      <c r="B12" s="100" t="s">
        <v>552</v>
      </c>
      <c r="C12" s="77" t="s">
        <v>553</v>
      </c>
      <c r="D12" s="78"/>
      <c r="E12" s="89">
        <v>44166</v>
      </c>
      <c r="F12" s="90">
        <f t="shared" ref="F12" si="30">IF(ISBLANK(E12)," - ",IF(G12=0,E12,E12+G12-1))</f>
        <v>44166</v>
      </c>
      <c r="G12" s="79">
        <v>1</v>
      </c>
      <c r="H12" s="80">
        <v>1</v>
      </c>
      <c r="I12" s="81">
        <v>1</v>
      </c>
      <c r="J12" s="82"/>
      <c r="K12" s="76"/>
      <c r="L12" s="76"/>
      <c r="M12" s="84"/>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c r="KR12" s="76"/>
      <c r="KS12" s="76"/>
      <c r="KT12" s="76"/>
      <c r="KU12" s="76"/>
      <c r="KV12" s="76"/>
      <c r="KW12" s="76"/>
      <c r="KX12" s="76"/>
      <c r="KY12" s="76"/>
      <c r="KZ12" s="76"/>
      <c r="LA12" s="76"/>
      <c r="LB12" s="76"/>
      <c r="LC12" s="76"/>
      <c r="LD12" s="76"/>
      <c r="LE12" s="76"/>
      <c r="LF12" s="76"/>
      <c r="LG12" s="76"/>
      <c r="LH12" s="76"/>
      <c r="LI12" s="76"/>
      <c r="LJ12" s="76"/>
      <c r="LK12" s="76"/>
      <c r="LL12" s="76"/>
      <c r="LM12" s="76"/>
      <c r="LN12" s="76"/>
      <c r="LO12" s="76"/>
      <c r="LP12" s="76"/>
      <c r="LQ12" s="76"/>
      <c r="LR12" s="76"/>
      <c r="LS12" s="76"/>
      <c r="LT12" s="76"/>
      <c r="LU12" s="76"/>
      <c r="LV12" s="76"/>
      <c r="LW12" s="76"/>
      <c r="LX12" s="76"/>
      <c r="LY12" s="76"/>
      <c r="LZ12" s="76"/>
      <c r="MA12" s="76"/>
      <c r="MB12" s="76"/>
      <c r="MC12" s="76"/>
      <c r="MD12" s="76"/>
      <c r="ME12" s="76"/>
      <c r="MF12" s="76"/>
      <c r="MG12" s="76"/>
      <c r="MH12" s="76"/>
      <c r="MI12" s="76"/>
      <c r="MJ12" s="76"/>
      <c r="MK12" s="76"/>
      <c r="ML12" s="76"/>
      <c r="MM12" s="76"/>
      <c r="MN12" s="76"/>
      <c r="MO12" s="76"/>
      <c r="MP12" s="76"/>
      <c r="MQ12" s="76"/>
      <c r="MR12" s="76"/>
      <c r="MS12" s="76"/>
      <c r="MT12" s="76"/>
      <c r="MU12" s="76"/>
      <c r="MV12" s="76"/>
      <c r="MW12" s="76"/>
      <c r="MX12" s="76"/>
      <c r="MY12" s="76"/>
      <c r="MZ12" s="76"/>
      <c r="NA12" s="76"/>
      <c r="NB12" s="76"/>
      <c r="NC12" s="76"/>
      <c r="ND12" s="76"/>
      <c r="NE12" s="76"/>
      <c r="NF12" s="76"/>
      <c r="NG12" s="76"/>
      <c r="NH12" s="76"/>
      <c r="NI12" s="76"/>
      <c r="NJ12" s="76"/>
      <c r="NK12" s="76"/>
      <c r="NL12" s="76"/>
      <c r="NM12" s="76"/>
      <c r="NN12" s="76"/>
      <c r="NO12" s="76"/>
      <c r="NP12" s="76"/>
      <c r="NQ12" s="76"/>
      <c r="NR12" s="76"/>
      <c r="NS12" s="76"/>
      <c r="NT12" s="76"/>
      <c r="NU12" s="76"/>
      <c r="NV12" s="76"/>
      <c r="NW12" s="76"/>
      <c r="NX12" s="76"/>
      <c r="NY12" s="76"/>
      <c r="NZ12" s="76"/>
      <c r="OA12" s="76"/>
      <c r="OB12" s="76"/>
      <c r="OC12" s="76"/>
      <c r="OD12" s="76"/>
      <c r="OE12" s="76"/>
      <c r="OF12" s="76"/>
      <c r="OG12" s="76"/>
      <c r="OH12" s="76"/>
      <c r="OI12" s="76"/>
      <c r="OJ12" s="76"/>
      <c r="OK12" s="76"/>
      <c r="OL12" s="76"/>
      <c r="OM12" s="76"/>
      <c r="ON12" s="76"/>
      <c r="OO12" s="76"/>
      <c r="OP12" s="76"/>
      <c r="OQ12" s="76"/>
      <c r="OR12" s="76"/>
      <c r="OS12" s="76"/>
      <c r="OT12" s="76"/>
      <c r="OU12" s="76"/>
      <c r="OV12" s="76"/>
      <c r="OW12" s="76"/>
      <c r="OX12" s="76"/>
      <c r="OY12" s="76"/>
      <c r="OZ12" s="76"/>
      <c r="PA12" s="76"/>
      <c r="PB12" s="76"/>
      <c r="PC12" s="76"/>
      <c r="PD12" s="76"/>
      <c r="PE12" s="76"/>
      <c r="PF12" s="76"/>
      <c r="PG12" s="76"/>
      <c r="PH12" s="76"/>
      <c r="PI12" s="76"/>
      <c r="PJ12" s="76"/>
      <c r="PK12" s="76"/>
      <c r="PL12" s="76"/>
      <c r="PM12" s="76"/>
      <c r="PN12" s="76"/>
      <c r="PO12" s="76"/>
      <c r="PP12" s="76"/>
      <c r="PQ12" s="76"/>
      <c r="PR12" s="76"/>
      <c r="PS12" s="76"/>
      <c r="PT12" s="76"/>
      <c r="PU12" s="76"/>
      <c r="PV12" s="76"/>
      <c r="PW12" s="76"/>
      <c r="PX12" s="76"/>
      <c r="PY12" s="76"/>
      <c r="PZ12" s="76"/>
      <c r="QA12" s="76"/>
      <c r="QB12" s="76"/>
      <c r="QC12" s="76"/>
      <c r="QD12" s="76"/>
      <c r="QE12" s="76"/>
      <c r="QF12" s="76"/>
      <c r="QG12" s="76"/>
      <c r="QH12" s="76"/>
      <c r="QI12" s="76"/>
      <c r="QJ12" s="76"/>
      <c r="QK12" s="76"/>
      <c r="QL12" s="76"/>
      <c r="QM12" s="76"/>
      <c r="QN12" s="76"/>
      <c r="QO12" s="76"/>
      <c r="QP12" s="76"/>
      <c r="QQ12" s="76"/>
      <c r="QR12" s="76"/>
      <c r="QS12" s="76"/>
      <c r="QT12" s="76"/>
      <c r="QU12" s="76"/>
      <c r="QV12" s="76"/>
      <c r="QW12" s="76"/>
      <c r="QX12" s="76"/>
      <c r="QY12" s="76"/>
      <c r="QZ12" s="76"/>
      <c r="RA12" s="76"/>
      <c r="RB12" s="76"/>
      <c r="RC12" s="76"/>
      <c r="RD12" s="76"/>
      <c r="RE12" s="76"/>
      <c r="RF12" s="76"/>
      <c r="RG12" s="76"/>
      <c r="RH12" s="76"/>
      <c r="RI12" s="76"/>
      <c r="RJ12" s="76"/>
      <c r="RK12" s="76"/>
      <c r="RL12" s="76"/>
      <c r="RM12" s="76"/>
      <c r="RN12" s="76"/>
      <c r="RO12" s="76"/>
      <c r="RP12" s="76"/>
      <c r="RQ12" s="76"/>
      <c r="RR12" s="76"/>
      <c r="RS12" s="76"/>
      <c r="RT12" s="76"/>
      <c r="RU12" s="76"/>
      <c r="RV12" s="76"/>
      <c r="RW12" s="76"/>
      <c r="RX12" s="76"/>
      <c r="RY12" s="76"/>
      <c r="RZ12" s="76"/>
      <c r="SA12" s="76"/>
      <c r="SB12" s="76"/>
      <c r="SC12" s="76"/>
      <c r="SD12" s="76"/>
      <c r="SE12" s="76"/>
      <c r="SF12" s="76"/>
      <c r="SG12" s="76"/>
      <c r="SH12" s="76"/>
      <c r="SI12" s="76"/>
      <c r="SJ12" s="76"/>
      <c r="SK12" s="76"/>
      <c r="SL12" s="76"/>
      <c r="SM12" s="76"/>
      <c r="SN12" s="76"/>
      <c r="SO12" s="76"/>
      <c r="SP12" s="76"/>
      <c r="SQ12" s="76"/>
      <c r="SR12" s="76"/>
      <c r="SS12" s="76"/>
      <c r="ST12" s="76"/>
      <c r="SU12" s="76"/>
      <c r="SV12" s="76"/>
      <c r="SW12" s="76"/>
      <c r="SX12" s="76"/>
      <c r="SY12" s="76"/>
      <c r="SZ12" s="76"/>
      <c r="TA12" s="76"/>
      <c r="TB12" s="76"/>
      <c r="TC12" s="76"/>
      <c r="TD12" s="76"/>
      <c r="TE12" s="76"/>
      <c r="TF12" s="76"/>
      <c r="TG12" s="76"/>
      <c r="TH12" s="76"/>
      <c r="TI12" s="76"/>
      <c r="TJ12" s="76"/>
      <c r="TK12" s="76"/>
      <c r="TL12" s="76"/>
      <c r="TM12" s="76"/>
      <c r="TN12" s="76"/>
      <c r="TO12" s="76"/>
      <c r="TP12" s="76"/>
      <c r="TQ12" s="76"/>
      <c r="TR12" s="76"/>
      <c r="TS12" s="76"/>
      <c r="TT12" s="76"/>
      <c r="TU12" s="76"/>
      <c r="TV12" s="76"/>
      <c r="TW12" s="76"/>
      <c r="TX12" s="76"/>
      <c r="TY12" s="76"/>
      <c r="TZ12" s="76"/>
      <c r="UA12" s="76"/>
      <c r="UB12" s="76"/>
      <c r="UC12" s="76"/>
      <c r="UD12" s="76"/>
      <c r="UE12" s="76"/>
      <c r="UF12" s="76"/>
      <c r="UG12" s="76"/>
      <c r="UH12" s="76"/>
      <c r="UI12" s="76"/>
      <c r="UJ12" s="76"/>
      <c r="UK12" s="76"/>
      <c r="UL12" s="76"/>
      <c r="UM12" s="76"/>
      <c r="UN12" s="76"/>
      <c r="UO12" s="76"/>
      <c r="UP12" s="76"/>
      <c r="UQ12" s="76"/>
      <c r="UR12" s="76"/>
      <c r="US12" s="76"/>
      <c r="UT12" s="76"/>
      <c r="UU12" s="76"/>
      <c r="UV12" s="76"/>
      <c r="UW12" s="76"/>
      <c r="UX12" s="76"/>
      <c r="UY12" s="76"/>
      <c r="UZ12" s="76"/>
      <c r="VA12" s="76"/>
      <c r="VB12" s="76"/>
      <c r="VC12" s="76"/>
      <c r="VD12" s="76"/>
      <c r="VE12" s="76"/>
      <c r="VF12" s="76"/>
      <c r="VG12" s="76"/>
      <c r="VH12" s="76"/>
      <c r="VI12" s="76"/>
      <c r="VJ12" s="76"/>
      <c r="VK12" s="76"/>
      <c r="VL12" s="76"/>
      <c r="VM12" s="76"/>
      <c r="VN12" s="76"/>
      <c r="VO12" s="76"/>
      <c r="VP12" s="76"/>
      <c r="VQ12" s="76"/>
      <c r="VR12" s="76"/>
      <c r="VS12" s="76"/>
      <c r="VT12" s="76"/>
      <c r="VU12" s="76"/>
      <c r="VV12" s="76"/>
      <c r="VW12" s="76"/>
      <c r="VX12" s="76"/>
      <c r="VY12" s="76"/>
      <c r="VZ12" s="76"/>
      <c r="WA12" s="76"/>
      <c r="WB12" s="76"/>
      <c r="WC12" s="76"/>
      <c r="WD12" s="76"/>
      <c r="WE12" s="76"/>
      <c r="WF12" s="76"/>
      <c r="WG12" s="76"/>
      <c r="WH12" s="76"/>
      <c r="WI12" s="76"/>
      <c r="WJ12" s="76"/>
      <c r="WK12" s="76"/>
      <c r="WL12" s="76"/>
      <c r="WM12" s="76"/>
      <c r="WN12" s="76"/>
      <c r="WO12" s="76"/>
      <c r="WP12" s="76"/>
      <c r="WQ12" s="76"/>
      <c r="WR12" s="76"/>
      <c r="WS12" s="76"/>
      <c r="WT12" s="76"/>
      <c r="WU12" s="76"/>
      <c r="WV12" s="76"/>
      <c r="WW12" s="76"/>
      <c r="WX12" s="76"/>
      <c r="WY12" s="76"/>
      <c r="WZ12" s="76"/>
      <c r="XA12" s="76"/>
      <c r="XB12" s="76"/>
      <c r="XC12" s="76"/>
      <c r="XD12" s="76"/>
      <c r="XE12" s="76"/>
      <c r="XF12" s="76"/>
      <c r="XG12" s="76"/>
      <c r="XH12" s="76"/>
      <c r="XI12" s="76"/>
      <c r="XJ12" s="76"/>
      <c r="XK12" s="76"/>
      <c r="XL12" s="76"/>
      <c r="XM12" s="76"/>
      <c r="XN12" s="76"/>
      <c r="XO12" s="76"/>
      <c r="XP12" s="76"/>
      <c r="XQ12" s="76"/>
      <c r="XR12" s="76"/>
      <c r="XS12" s="76"/>
      <c r="XT12" s="76"/>
      <c r="XU12" s="76"/>
      <c r="XV12" s="76"/>
      <c r="XW12" s="76"/>
      <c r="XX12" s="76"/>
      <c r="XY12" s="76"/>
      <c r="XZ12" s="76"/>
      <c r="YA12" s="76"/>
      <c r="YB12" s="76"/>
      <c r="YC12" s="76"/>
      <c r="YD12" s="76"/>
      <c r="YE12" s="76"/>
      <c r="YF12" s="76"/>
      <c r="YG12" s="76"/>
      <c r="YH12" s="76"/>
      <c r="YI12" s="76"/>
      <c r="YJ12" s="76"/>
      <c r="YK12" s="76"/>
      <c r="YL12" s="76"/>
      <c r="YM12" s="76"/>
      <c r="YN12" s="76"/>
      <c r="YO12" s="76"/>
      <c r="YP12" s="76"/>
      <c r="YQ12" s="76"/>
      <c r="YR12" s="76"/>
      <c r="YS12" s="76"/>
      <c r="YT12" s="76"/>
      <c r="YU12" s="76"/>
      <c r="YV12" s="76"/>
      <c r="YW12" s="76"/>
      <c r="YX12" s="76"/>
      <c r="YY12" s="76"/>
      <c r="YZ12" s="76"/>
      <c r="ZA12" s="76"/>
      <c r="ZB12" s="76"/>
      <c r="ZC12" s="76"/>
      <c r="ZD12" s="76"/>
      <c r="ZE12" s="76"/>
      <c r="ZF12" s="76"/>
      <c r="ZG12" s="76"/>
      <c r="ZH12" s="76"/>
      <c r="ZI12" s="76"/>
      <c r="ZJ12" s="76"/>
      <c r="ZK12" s="76"/>
      <c r="ZL12" s="76"/>
      <c r="ZM12" s="76"/>
      <c r="ZN12" s="76"/>
      <c r="ZO12" s="76"/>
      <c r="ZP12" s="76"/>
      <c r="ZQ12" s="76"/>
      <c r="ZR12" s="76"/>
      <c r="ZS12" s="76"/>
      <c r="ZT12" s="76"/>
      <c r="ZU12" s="76"/>
      <c r="ZV12" s="76"/>
      <c r="ZW12" s="76"/>
      <c r="ZX12" s="76"/>
      <c r="ZY12" s="76"/>
      <c r="ZZ12" s="76"/>
      <c r="AAA12" s="76"/>
      <c r="AAB12" s="76"/>
      <c r="AAC12" s="76"/>
      <c r="AAD12" s="76"/>
      <c r="AAE12" s="76"/>
      <c r="AAF12" s="76"/>
      <c r="AAG12" s="76"/>
      <c r="AAH12" s="76"/>
      <c r="AAI12" s="76"/>
      <c r="AAJ12" s="76"/>
      <c r="AAK12" s="76"/>
      <c r="AAL12" s="76"/>
      <c r="AAM12" s="76"/>
      <c r="AAN12" s="76"/>
      <c r="AAO12" s="76"/>
      <c r="AAP12" s="76"/>
      <c r="AAQ12" s="76"/>
      <c r="AAR12" s="76"/>
      <c r="AAS12" s="76"/>
      <c r="AAT12" s="76"/>
      <c r="AAU12" s="76"/>
      <c r="AAV12" s="76"/>
      <c r="AAW12" s="76"/>
      <c r="AAX12" s="76"/>
      <c r="AAY12" s="76"/>
      <c r="AAZ12" s="76"/>
      <c r="ABA12" s="76"/>
      <c r="ABB12" s="76"/>
      <c r="ABC12" s="76"/>
      <c r="ABD12" s="76"/>
      <c r="ABE12" s="76"/>
      <c r="ABF12" s="76"/>
      <c r="ABG12" s="76"/>
      <c r="ABH12" s="76"/>
      <c r="ABI12" s="76"/>
      <c r="ABJ12" s="76"/>
      <c r="ABK12" s="76"/>
      <c r="ABL12" s="76"/>
      <c r="ABM12" s="76"/>
      <c r="ABN12" s="76"/>
      <c r="ABO12" s="76"/>
      <c r="ABP12" s="76"/>
      <c r="ABQ12" s="76"/>
      <c r="ABR12" s="76"/>
      <c r="ABS12" s="76"/>
      <c r="ABT12" s="76"/>
      <c r="ABU12" s="76"/>
      <c r="ABV12" s="76"/>
      <c r="ABW12" s="76"/>
      <c r="ABX12" s="76"/>
      <c r="ABY12" s="76"/>
      <c r="ABZ12" s="76"/>
      <c r="ACA12" s="76"/>
      <c r="ACB12" s="76"/>
      <c r="ACC12" s="76"/>
      <c r="ACD12" s="76"/>
      <c r="ACE12" s="76"/>
      <c r="ACF12" s="76"/>
      <c r="ACG12" s="76"/>
      <c r="ACH12" s="76"/>
      <c r="ACI12" s="76"/>
      <c r="ACJ12" s="76"/>
      <c r="ACK12" s="76"/>
      <c r="ACL12" s="76"/>
      <c r="ACM12" s="76"/>
      <c r="ACN12" s="76"/>
      <c r="ACO12" s="76"/>
      <c r="ACP12" s="76"/>
      <c r="ACQ12" s="76"/>
      <c r="ACR12" s="76"/>
      <c r="ACS12" s="76"/>
      <c r="ACT12" s="76"/>
      <c r="ACU12" s="76"/>
      <c r="ACV12" s="76"/>
      <c r="ACW12" s="76"/>
      <c r="ACX12" s="76"/>
      <c r="ACY12" s="76"/>
      <c r="ACZ12" s="76"/>
      <c r="ADA12" s="76"/>
      <c r="ADB12" s="76"/>
      <c r="ADC12" s="76"/>
      <c r="ADD12" s="76"/>
      <c r="ADE12" s="76"/>
      <c r="ADF12" s="76"/>
      <c r="ADG12" s="76"/>
      <c r="ADH12" s="76"/>
      <c r="ADI12" s="76"/>
      <c r="ADJ12" s="76"/>
      <c r="ADK12" s="76"/>
      <c r="ADL12" s="76"/>
      <c r="ADM12" s="76"/>
      <c r="ADN12" s="76"/>
      <c r="ADO12" s="76"/>
      <c r="ADP12" s="76"/>
      <c r="ADQ12" s="76"/>
      <c r="ADR12" s="76"/>
      <c r="ADS12" s="76"/>
      <c r="ADT12" s="76"/>
      <c r="ADU12" s="76"/>
      <c r="ADV12" s="76"/>
      <c r="ADW12" s="76"/>
      <c r="ADX12" s="76"/>
      <c r="ADY12" s="76"/>
      <c r="ADZ12" s="76"/>
      <c r="AEA12" s="76"/>
      <c r="AEB12" s="76"/>
      <c r="AEC12" s="76"/>
      <c r="AED12" s="76"/>
      <c r="AEE12" s="76"/>
      <c r="AEF12" s="76"/>
      <c r="AEG12" s="76"/>
      <c r="AEH12" s="76"/>
      <c r="AEI12" s="76"/>
      <c r="AEJ12" s="76"/>
      <c r="AEK12" s="76"/>
      <c r="AEL12" s="76"/>
      <c r="AEM12" s="76"/>
      <c r="AEN12" s="76"/>
      <c r="AEO12" s="76"/>
      <c r="AEP12" s="76"/>
      <c r="AEQ12" s="76"/>
      <c r="AER12" s="76"/>
      <c r="AES12" s="76"/>
      <c r="AET12" s="76"/>
      <c r="AEU12" s="76"/>
      <c r="AEV12" s="76"/>
      <c r="AEW12" s="76"/>
      <c r="AEX12" s="76"/>
      <c r="AEY12" s="76"/>
      <c r="AEZ12" s="76"/>
      <c r="AFA12" s="76"/>
      <c r="AFB12" s="76"/>
      <c r="AFC12" s="76"/>
      <c r="AFD12" s="76"/>
    </row>
  </sheetData>
  <mergeCells count="240">
    <mergeCell ref="AEC3:AEI3"/>
    <mergeCell ref="AEJ3:AEP3"/>
    <mergeCell ref="AEQ3:AEW3"/>
    <mergeCell ref="AEX3:AFD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AEC2:AEI2"/>
    <mergeCell ref="AEJ2:AEP2"/>
    <mergeCell ref="AEQ2:AEW2"/>
    <mergeCell ref="AEX2:AFD2"/>
    <mergeCell ref="UK3:UQ3"/>
    <mergeCell ref="UR3:UX3"/>
    <mergeCell ref="UY3:VE3"/>
    <mergeCell ref="VF3:VL3"/>
    <mergeCell ref="VM3:VS3"/>
    <mergeCell ref="VT3:VZ3"/>
    <mergeCell ref="ACM2:ACS2"/>
    <mergeCell ref="ACT2:ACZ2"/>
    <mergeCell ref="ADA2:ADG2"/>
    <mergeCell ref="ADH2:ADN2"/>
    <mergeCell ref="ADO2:ADU2"/>
    <mergeCell ref="ADV2:AEB2"/>
    <mergeCell ref="AAW2:ABC2"/>
    <mergeCell ref="ABD2:ABJ2"/>
    <mergeCell ref="ABK2:ABQ2"/>
    <mergeCell ref="ABR2:ABX2"/>
    <mergeCell ref="ABY2:ACE2"/>
    <mergeCell ref="ACF2:ACL2"/>
    <mergeCell ref="ZG2:ZM2"/>
    <mergeCell ref="ZN2:ZT2"/>
    <mergeCell ref="ZU2:AAA2"/>
    <mergeCell ref="AAB2:AAH2"/>
    <mergeCell ref="AAI2:AAO2"/>
    <mergeCell ref="AAP2:AAV2"/>
    <mergeCell ref="XQ2:XW2"/>
    <mergeCell ref="XX2:YD2"/>
    <mergeCell ref="YE2:YK2"/>
    <mergeCell ref="YL2:YR2"/>
    <mergeCell ref="YS2:YY2"/>
    <mergeCell ref="YZ2:ZF2"/>
    <mergeCell ref="WA2:WG2"/>
    <mergeCell ref="WH2:WN2"/>
    <mergeCell ref="WO2:WU2"/>
    <mergeCell ref="WV2:XB2"/>
    <mergeCell ref="XC2:XI2"/>
    <mergeCell ref="XJ2:XP2"/>
    <mergeCell ref="UK2:UQ2"/>
    <mergeCell ref="UR2:UX2"/>
    <mergeCell ref="UY2:VE2"/>
    <mergeCell ref="VF2:VL2"/>
    <mergeCell ref="VM2:VS2"/>
    <mergeCell ref="VT2:VZ2"/>
    <mergeCell ref="SU3:TA3"/>
    <mergeCell ref="TB3:TH3"/>
    <mergeCell ref="TI3:TO3"/>
    <mergeCell ref="TP3:TV3"/>
    <mergeCell ref="TW3:UC3"/>
    <mergeCell ref="UD3:UJ3"/>
    <mergeCell ref="RE3:RK3"/>
    <mergeCell ref="RL3:RR3"/>
    <mergeCell ref="RS3:RY3"/>
    <mergeCell ref="RZ3:SF3"/>
    <mergeCell ref="SG3:SM3"/>
    <mergeCell ref="SN3:ST3"/>
    <mergeCell ref="SU2:TA2"/>
    <mergeCell ref="TB2:TH2"/>
    <mergeCell ref="TI2:TO2"/>
    <mergeCell ref="TP2:TV2"/>
    <mergeCell ref="TW2:UC2"/>
    <mergeCell ref="UD2:UJ2"/>
    <mergeCell ref="RE2:RK2"/>
    <mergeCell ref="RL2:RR2"/>
    <mergeCell ref="RS2:RY2"/>
    <mergeCell ref="RZ2:SF2"/>
    <mergeCell ref="SG2:SM2"/>
    <mergeCell ref="SN2:ST2"/>
    <mergeCell ref="PO3:PU3"/>
    <mergeCell ref="PV3:QB3"/>
    <mergeCell ref="QC3:QI3"/>
    <mergeCell ref="QJ3:QP3"/>
    <mergeCell ref="QQ3:QW3"/>
    <mergeCell ref="QX3:RD3"/>
    <mergeCell ref="NY3:OE3"/>
    <mergeCell ref="OF3:OL3"/>
    <mergeCell ref="OM3:OS3"/>
    <mergeCell ref="OT3:OZ3"/>
    <mergeCell ref="PA3:PG3"/>
    <mergeCell ref="PH3:PN3"/>
    <mergeCell ref="PO2:PU2"/>
    <mergeCell ref="PV2:QB2"/>
    <mergeCell ref="QC2:QI2"/>
    <mergeCell ref="QJ2:QP2"/>
    <mergeCell ref="QQ2:QW2"/>
    <mergeCell ref="QX2:RD2"/>
    <mergeCell ref="NY2:OE2"/>
    <mergeCell ref="OF2:OL2"/>
    <mergeCell ref="OM2:OS2"/>
    <mergeCell ref="OT2:OZ2"/>
    <mergeCell ref="PA2:PG2"/>
    <mergeCell ref="PH2:PN2"/>
    <mergeCell ref="MI3:MO3"/>
    <mergeCell ref="MP3:MV3"/>
    <mergeCell ref="MW3:NC3"/>
    <mergeCell ref="ND3:NJ3"/>
    <mergeCell ref="NK3:NQ3"/>
    <mergeCell ref="NR3:NX3"/>
    <mergeCell ref="KS3:KY3"/>
    <mergeCell ref="KZ3:LF3"/>
    <mergeCell ref="LG3:LM3"/>
    <mergeCell ref="LN3:LT3"/>
    <mergeCell ref="LU3:MA3"/>
    <mergeCell ref="MB3:MH3"/>
    <mergeCell ref="MI2:MO2"/>
    <mergeCell ref="MP2:MV2"/>
    <mergeCell ref="MW2:NC2"/>
    <mergeCell ref="ND2:NJ2"/>
    <mergeCell ref="NK2:NQ2"/>
    <mergeCell ref="NR2:NX2"/>
    <mergeCell ref="KS2:KY2"/>
    <mergeCell ref="KZ2:LF2"/>
    <mergeCell ref="LG2:LM2"/>
    <mergeCell ref="LN2:LT2"/>
    <mergeCell ref="LU2:MA2"/>
    <mergeCell ref="MB2:MH2"/>
    <mergeCell ref="JJ3:JP3"/>
    <mergeCell ref="JQ3:JW3"/>
    <mergeCell ref="JX3:KD3"/>
    <mergeCell ref="KE3:KK3"/>
    <mergeCell ref="KL3:KR3"/>
    <mergeCell ref="JQ2:JW2"/>
    <mergeCell ref="JX2:KD2"/>
    <mergeCell ref="KE2:KK2"/>
    <mergeCell ref="KL2:KR2"/>
    <mergeCell ref="JJ2:JP2"/>
    <mergeCell ref="IA3:IG3"/>
    <mergeCell ref="IH3:IN3"/>
    <mergeCell ref="IO3:IU3"/>
    <mergeCell ref="IV3:JB3"/>
    <mergeCell ref="IA2:IG2"/>
    <mergeCell ref="IH2:IN2"/>
    <mergeCell ref="IO2:IU2"/>
    <mergeCell ref="IV2:JB2"/>
    <mergeCell ref="JC3:JI3"/>
    <mergeCell ref="JC2:JI2"/>
    <mergeCell ref="GK3:GQ3"/>
    <mergeCell ref="GR3:GX3"/>
    <mergeCell ref="GY3:HE3"/>
    <mergeCell ref="HF3:HL3"/>
    <mergeCell ref="HM2:HS2"/>
    <mergeCell ref="HT2:HZ2"/>
    <mergeCell ref="GR2:GX2"/>
    <mergeCell ref="GY2:HE2"/>
    <mergeCell ref="HF2:HL2"/>
    <mergeCell ref="GK2:GQ2"/>
    <mergeCell ref="HM3:HS3"/>
    <mergeCell ref="HT3:HZ3"/>
    <mergeCell ref="FB3:FH3"/>
    <mergeCell ref="FI3:FO3"/>
    <mergeCell ref="FP3:FV3"/>
    <mergeCell ref="FW3:GC3"/>
    <mergeCell ref="GD3:GJ3"/>
    <mergeCell ref="FB2:FH2"/>
    <mergeCell ref="FI2:FO2"/>
    <mergeCell ref="FP2:FV2"/>
    <mergeCell ref="FW2:GC2"/>
    <mergeCell ref="GD2:GJ2"/>
    <mergeCell ref="DZ2:EF2"/>
    <mergeCell ref="DZ3:EF3"/>
    <mergeCell ref="EG2:EM2"/>
    <mergeCell ref="EG3:EM3"/>
    <mergeCell ref="EN2:ET2"/>
    <mergeCell ref="EU2:FA2"/>
    <mergeCell ref="DE2:DK2"/>
    <mergeCell ref="DE3:DK3"/>
    <mergeCell ref="DL2:DR2"/>
    <mergeCell ref="DL3:DR3"/>
    <mergeCell ref="DS2:DY2"/>
    <mergeCell ref="DS3:DY3"/>
    <mergeCell ref="EN3:ET3"/>
    <mergeCell ref="EU3:FA3"/>
    <mergeCell ref="CJ2:CP2"/>
    <mergeCell ref="CJ3:CP3"/>
    <mergeCell ref="CQ2:CW2"/>
    <mergeCell ref="CQ3:CW3"/>
    <mergeCell ref="CX2:DD2"/>
    <mergeCell ref="CX3:DD3"/>
    <mergeCell ref="BO2:BU2"/>
    <mergeCell ref="BV2:CB2"/>
    <mergeCell ref="BO3:BU3"/>
    <mergeCell ref="BV3:CB3"/>
    <mergeCell ref="CC2:CI2"/>
    <mergeCell ref="CC3:CI3"/>
    <mergeCell ref="F3:G3"/>
    <mergeCell ref="F2:G2"/>
    <mergeCell ref="C2:E2"/>
    <mergeCell ref="BH3:BN3"/>
    <mergeCell ref="BA2:BG2"/>
    <mergeCell ref="BH2:BN2"/>
    <mergeCell ref="C3:E3"/>
    <mergeCell ref="K3:Q3"/>
    <mergeCell ref="R3:X3"/>
    <mergeCell ref="Y3:AE3"/>
    <mergeCell ref="AF3:AL3"/>
    <mergeCell ref="AM3:AS3"/>
    <mergeCell ref="AT3:AZ3"/>
    <mergeCell ref="BA3:BG3"/>
    <mergeCell ref="K2:Q2"/>
    <mergeCell ref="R2:X2"/>
    <mergeCell ref="Y2:AE2"/>
    <mergeCell ref="AF2:AL2"/>
    <mergeCell ref="AM2:AS2"/>
    <mergeCell ref="AT2:AZ2"/>
  </mergeCells>
  <phoneticPr fontId="35" type="noConversion"/>
  <conditionalFormatting sqref="H6:H10 H12">
    <cfRule type="dataBar" priority="473">
      <dataBar>
        <cfvo type="num" val="0"/>
        <cfvo type="num" val="1"/>
        <color theme="0" tint="-0.34998626667073579"/>
      </dataBar>
      <extLst>
        <ext xmlns:x14="http://schemas.microsoft.com/office/spreadsheetml/2009/9/main" uri="{B025F937-C7B1-47D3-B67F-A62EFF666E3E}">
          <x14:id>{5DB6F906-508C-452E-8C4D-FB9E1A5FD370}</x14:id>
        </ext>
      </extLst>
    </cfRule>
  </conditionalFormatting>
  <conditionalFormatting sqref="K4:BN5">
    <cfRule type="expression" dxfId="113" priority="475">
      <formula>K$4=TODAY()</formula>
    </cfRule>
  </conditionalFormatting>
  <conditionalFormatting sqref="K6:AFD12">
    <cfRule type="expression" dxfId="112" priority="476">
      <formula>AND($E6&lt;=K$4,ROUNDDOWN(($F6-$E6+1)*$H6,0)+$E6-1&gt;=K$4)</formula>
    </cfRule>
    <cfRule type="expression" dxfId="111" priority="477">
      <formula>AND(NOT(ISBLANK($E6)),$E6&lt;=K$4,$F6&gt;=K$4)</formula>
    </cfRule>
  </conditionalFormatting>
  <conditionalFormatting sqref="K4:AFD12">
    <cfRule type="expression" dxfId="110" priority="474">
      <formula>K$4=TODAY()</formula>
    </cfRule>
  </conditionalFormatting>
  <conditionalFormatting sqref="BO4:BU5">
    <cfRule type="expression" dxfId="109" priority="448">
      <formula>BO$4=TODAY()</formula>
    </cfRule>
  </conditionalFormatting>
  <conditionalFormatting sqref="BV4:CB5">
    <cfRule type="expression" dxfId="108" priority="444">
      <formula>BV$4=TODAY()</formula>
    </cfRule>
  </conditionalFormatting>
  <conditionalFormatting sqref="CC4:CI5">
    <cfRule type="expression" dxfId="107" priority="440">
      <formula>CC$4=TODAY()</formula>
    </cfRule>
  </conditionalFormatting>
  <conditionalFormatting sqref="CJ4:CP5">
    <cfRule type="expression" dxfId="106" priority="436">
      <formula>CJ$4=TODAY()</formula>
    </cfRule>
  </conditionalFormatting>
  <conditionalFormatting sqref="CQ4:CW5">
    <cfRule type="expression" dxfId="105" priority="432">
      <formula>CQ$4=TODAY()</formula>
    </cfRule>
  </conditionalFormatting>
  <conditionalFormatting sqref="CX4:DD5">
    <cfRule type="expression" dxfId="104" priority="428">
      <formula>CX$4=TODAY()</formula>
    </cfRule>
  </conditionalFormatting>
  <conditionalFormatting sqref="DE4:DK5">
    <cfRule type="expression" dxfId="103" priority="424">
      <formula>DE$4=TODAY()</formula>
    </cfRule>
  </conditionalFormatting>
  <conditionalFormatting sqref="DL4:DR5">
    <cfRule type="expression" dxfId="102" priority="420">
      <formula>DL$4=TODAY()</formula>
    </cfRule>
  </conditionalFormatting>
  <conditionalFormatting sqref="DS4:DY5">
    <cfRule type="expression" dxfId="101" priority="416">
      <formula>DS$4=TODAY()</formula>
    </cfRule>
  </conditionalFormatting>
  <conditionalFormatting sqref="DZ4:EF5">
    <cfRule type="expression" dxfId="100" priority="412">
      <formula>DZ$4=TODAY()</formula>
    </cfRule>
  </conditionalFormatting>
  <conditionalFormatting sqref="EG4:EM5">
    <cfRule type="expression" dxfId="99" priority="408">
      <formula>EG$4=TODAY()</formula>
    </cfRule>
  </conditionalFormatting>
  <conditionalFormatting sqref="EN4:ET5">
    <cfRule type="expression" dxfId="98" priority="404">
      <formula>EN$4=TODAY()</formula>
    </cfRule>
  </conditionalFormatting>
  <conditionalFormatting sqref="EU4:FA5">
    <cfRule type="expression" dxfId="97" priority="400">
      <formula>EU$4=TODAY()</formula>
    </cfRule>
  </conditionalFormatting>
  <conditionalFormatting sqref="FB4:FH5">
    <cfRule type="expression" dxfId="96" priority="396">
      <formula>FB$4=TODAY()</formula>
    </cfRule>
  </conditionalFormatting>
  <conditionalFormatting sqref="FI4:FO5">
    <cfRule type="expression" dxfId="95" priority="392">
      <formula>FI$4=TODAY()</formula>
    </cfRule>
  </conditionalFormatting>
  <conditionalFormatting sqref="FP4:FV5">
    <cfRule type="expression" dxfId="94" priority="388">
      <formula>FP$4=TODAY()</formula>
    </cfRule>
  </conditionalFormatting>
  <conditionalFormatting sqref="FW4:GC5">
    <cfRule type="expression" dxfId="93" priority="384">
      <formula>FW$4=TODAY()</formula>
    </cfRule>
  </conditionalFormatting>
  <conditionalFormatting sqref="GD4:GJ5">
    <cfRule type="expression" dxfId="92" priority="380">
      <formula>GD$4=TODAY()</formula>
    </cfRule>
  </conditionalFormatting>
  <conditionalFormatting sqref="GK4:GQ5">
    <cfRule type="expression" dxfId="91" priority="376">
      <formula>GK$4=TODAY()</formula>
    </cfRule>
  </conditionalFormatting>
  <conditionalFormatting sqref="GR4:GX5">
    <cfRule type="expression" dxfId="90" priority="372">
      <formula>GR$4=TODAY()</formula>
    </cfRule>
  </conditionalFormatting>
  <conditionalFormatting sqref="GY4:HE5">
    <cfRule type="expression" dxfId="89" priority="368">
      <formula>GY$4=TODAY()</formula>
    </cfRule>
  </conditionalFormatting>
  <conditionalFormatting sqref="HF4:HL5">
    <cfRule type="expression" dxfId="88" priority="364">
      <formula>HF$4=TODAY()</formula>
    </cfRule>
  </conditionalFormatting>
  <conditionalFormatting sqref="HM4:HS5">
    <cfRule type="expression" dxfId="87" priority="360">
      <formula>HM$4=TODAY()</formula>
    </cfRule>
  </conditionalFormatting>
  <conditionalFormatting sqref="HT4:HZ5">
    <cfRule type="expression" dxfId="86" priority="356">
      <formula>HT$4=TODAY()</formula>
    </cfRule>
  </conditionalFormatting>
  <conditionalFormatting sqref="IA4:IG5">
    <cfRule type="expression" dxfId="85" priority="352">
      <formula>IA$4=TODAY()</formula>
    </cfRule>
  </conditionalFormatting>
  <conditionalFormatting sqref="IH4:IN5">
    <cfRule type="expression" dxfId="84" priority="348">
      <formula>IH$4=TODAY()</formula>
    </cfRule>
  </conditionalFormatting>
  <conditionalFormatting sqref="IO4:IU5">
    <cfRule type="expression" dxfId="83" priority="344">
      <formula>IO$4=TODAY()</formula>
    </cfRule>
  </conditionalFormatting>
  <conditionalFormatting sqref="IV4:JB5">
    <cfRule type="expression" dxfId="82" priority="340">
      <formula>IV$4=TODAY()</formula>
    </cfRule>
  </conditionalFormatting>
  <conditionalFormatting sqref="JC4:JI5">
    <cfRule type="expression" dxfId="81" priority="336">
      <formula>JC$4=TODAY()</formula>
    </cfRule>
  </conditionalFormatting>
  <conditionalFormatting sqref="JJ4:JP5">
    <cfRule type="expression" dxfId="80" priority="332">
      <formula>JJ$4=TODAY()</formula>
    </cfRule>
  </conditionalFormatting>
  <conditionalFormatting sqref="JQ4:JW5">
    <cfRule type="expression" dxfId="79" priority="328">
      <formula>JQ$4=TODAY()</formula>
    </cfRule>
  </conditionalFormatting>
  <conditionalFormatting sqref="JX4:KD5">
    <cfRule type="expression" dxfId="78" priority="324">
      <formula>JX$4=TODAY()</formula>
    </cfRule>
  </conditionalFormatting>
  <conditionalFormatting sqref="KE4:KK5">
    <cfRule type="expression" dxfId="77" priority="320">
      <formula>KE$4=TODAY()</formula>
    </cfRule>
  </conditionalFormatting>
  <conditionalFormatting sqref="KL4:KR5">
    <cfRule type="expression" dxfId="76" priority="316">
      <formula>KL$4=TODAY()</formula>
    </cfRule>
  </conditionalFormatting>
  <conditionalFormatting sqref="KS4:KY5">
    <cfRule type="expression" dxfId="75" priority="312">
      <formula>KS$4=TODAY()</formula>
    </cfRule>
  </conditionalFormatting>
  <conditionalFormatting sqref="KZ4:LF5">
    <cfRule type="expression" dxfId="74" priority="308">
      <formula>KZ$4=TODAY()</formula>
    </cfRule>
  </conditionalFormatting>
  <conditionalFormatting sqref="LG4:LM5">
    <cfRule type="expression" dxfId="73" priority="304">
      <formula>LG$4=TODAY()</formula>
    </cfRule>
  </conditionalFormatting>
  <conditionalFormatting sqref="LN4:LT5">
    <cfRule type="expression" dxfId="72" priority="300">
      <formula>LN$4=TODAY()</formula>
    </cfRule>
  </conditionalFormatting>
  <conditionalFormatting sqref="LU4:MA5">
    <cfRule type="expression" dxfId="71" priority="296">
      <formula>LU$4=TODAY()</formula>
    </cfRule>
  </conditionalFormatting>
  <conditionalFormatting sqref="MB4:MH5">
    <cfRule type="expression" dxfId="70" priority="292">
      <formula>MB$4=TODAY()</formula>
    </cfRule>
  </conditionalFormatting>
  <conditionalFormatting sqref="MI4:MO5">
    <cfRule type="expression" dxfId="69" priority="288">
      <formula>MI$4=TODAY()</formula>
    </cfRule>
  </conditionalFormatting>
  <conditionalFormatting sqref="MP4:MV5">
    <cfRule type="expression" dxfId="68" priority="284">
      <formula>MP$4=TODAY()</formula>
    </cfRule>
  </conditionalFormatting>
  <conditionalFormatting sqref="MW4:NC5">
    <cfRule type="expression" dxfId="67" priority="280">
      <formula>MW$4=TODAY()</formula>
    </cfRule>
  </conditionalFormatting>
  <conditionalFormatting sqref="ND4:NJ5">
    <cfRule type="expression" dxfId="66" priority="276">
      <formula>ND$4=TODAY()</formula>
    </cfRule>
  </conditionalFormatting>
  <conditionalFormatting sqref="NK4:NQ5">
    <cfRule type="expression" dxfId="65" priority="272">
      <formula>NK$4=TODAY()</formula>
    </cfRule>
  </conditionalFormatting>
  <conditionalFormatting sqref="NR4:NX5">
    <cfRule type="expression" dxfId="64" priority="268">
      <formula>NR$4=TODAY()</formula>
    </cfRule>
  </conditionalFormatting>
  <conditionalFormatting sqref="NY4:OE5">
    <cfRule type="expression" dxfId="63" priority="264">
      <formula>NY$4=TODAY()</formula>
    </cfRule>
  </conditionalFormatting>
  <conditionalFormatting sqref="OF4:OL5">
    <cfRule type="expression" dxfId="62" priority="260">
      <formula>OF$4=TODAY()</formula>
    </cfRule>
  </conditionalFormatting>
  <conditionalFormatting sqref="OM4:OS5">
    <cfRule type="expression" dxfId="61" priority="256">
      <formula>OM$4=TODAY()</formula>
    </cfRule>
  </conditionalFormatting>
  <conditionalFormatting sqref="OT4:OZ5">
    <cfRule type="expression" dxfId="60" priority="252">
      <formula>OT$4=TODAY()</formula>
    </cfRule>
  </conditionalFormatting>
  <conditionalFormatting sqref="PA4:PG5">
    <cfRule type="expression" dxfId="59" priority="248">
      <formula>PA$4=TODAY()</formula>
    </cfRule>
  </conditionalFormatting>
  <conditionalFormatting sqref="PH4:PN5">
    <cfRule type="expression" dxfId="58" priority="244">
      <formula>PH$4=TODAY()</formula>
    </cfRule>
  </conditionalFormatting>
  <conditionalFormatting sqref="PO4:PU5">
    <cfRule type="expression" dxfId="57" priority="240">
      <formula>PO$4=TODAY()</formula>
    </cfRule>
  </conditionalFormatting>
  <conditionalFormatting sqref="PV4:QB5">
    <cfRule type="expression" dxfId="56" priority="236">
      <formula>PV$4=TODAY()</formula>
    </cfRule>
  </conditionalFormatting>
  <conditionalFormatting sqref="QC4:QI5">
    <cfRule type="expression" dxfId="55" priority="232">
      <formula>QC$4=TODAY()</formula>
    </cfRule>
  </conditionalFormatting>
  <conditionalFormatting sqref="QJ4:QP5">
    <cfRule type="expression" dxfId="54" priority="228">
      <formula>QJ$4=TODAY()</formula>
    </cfRule>
  </conditionalFormatting>
  <conditionalFormatting sqref="QQ4:QW5">
    <cfRule type="expression" dxfId="53" priority="224">
      <formula>QQ$4=TODAY()</formula>
    </cfRule>
  </conditionalFormatting>
  <conditionalFormatting sqref="QX4:RD5">
    <cfRule type="expression" dxfId="52" priority="220">
      <formula>QX$4=TODAY()</formula>
    </cfRule>
  </conditionalFormatting>
  <conditionalFormatting sqref="RE4:RK5">
    <cfRule type="expression" dxfId="51" priority="216">
      <formula>RE$4=TODAY()</formula>
    </cfRule>
  </conditionalFormatting>
  <conditionalFormatting sqref="RL4:RR5">
    <cfRule type="expression" dxfId="50" priority="212">
      <formula>RL$4=TODAY()</formula>
    </cfRule>
  </conditionalFormatting>
  <conditionalFormatting sqref="RS4:RY5">
    <cfRule type="expression" dxfId="49" priority="208">
      <formula>RS$4=TODAY()</formula>
    </cfRule>
  </conditionalFormatting>
  <conditionalFormatting sqref="RZ4:SF5">
    <cfRule type="expression" dxfId="48" priority="204">
      <formula>RZ$4=TODAY()</formula>
    </cfRule>
  </conditionalFormatting>
  <conditionalFormatting sqref="SG4:SM5">
    <cfRule type="expression" dxfId="47" priority="200">
      <formula>SG$4=TODAY()</formula>
    </cfRule>
  </conditionalFormatting>
  <conditionalFormatting sqref="SN4:ST5">
    <cfRule type="expression" dxfId="46" priority="196">
      <formula>SN$4=TODAY()</formula>
    </cfRule>
  </conditionalFormatting>
  <conditionalFormatting sqref="SU4:TA5">
    <cfRule type="expression" dxfId="45" priority="192">
      <formula>SU$4=TODAY()</formula>
    </cfRule>
  </conditionalFormatting>
  <conditionalFormatting sqref="TB4:TH5">
    <cfRule type="expression" dxfId="44" priority="188">
      <formula>TB$4=TODAY()</formula>
    </cfRule>
  </conditionalFormatting>
  <conditionalFormatting sqref="TI4:TO5">
    <cfRule type="expression" dxfId="43" priority="184">
      <formula>TI$4=TODAY()</formula>
    </cfRule>
  </conditionalFormatting>
  <conditionalFormatting sqref="TP4:TV5">
    <cfRule type="expression" dxfId="42" priority="180">
      <formula>TP$4=TODAY()</formula>
    </cfRule>
  </conditionalFormatting>
  <conditionalFormatting sqref="TW4:UC5">
    <cfRule type="expression" dxfId="41" priority="176">
      <formula>TW$4=TODAY()</formula>
    </cfRule>
  </conditionalFormatting>
  <conditionalFormatting sqref="UD4:UJ5">
    <cfRule type="expression" dxfId="40" priority="172">
      <formula>UD$4=TODAY()</formula>
    </cfRule>
  </conditionalFormatting>
  <conditionalFormatting sqref="UK4:UQ5">
    <cfRule type="expression" dxfId="39" priority="168">
      <formula>UK$4=TODAY()</formula>
    </cfRule>
  </conditionalFormatting>
  <conditionalFormatting sqref="UR4:UX5">
    <cfRule type="expression" dxfId="38" priority="164">
      <formula>UR$4=TODAY()</formula>
    </cfRule>
  </conditionalFormatting>
  <conditionalFormatting sqref="UY4:VE5">
    <cfRule type="expression" dxfId="37" priority="160">
      <formula>UY$4=TODAY()</formula>
    </cfRule>
  </conditionalFormatting>
  <conditionalFormatting sqref="VF4:VL5">
    <cfRule type="expression" dxfId="36" priority="156">
      <formula>VF$4=TODAY()</formula>
    </cfRule>
  </conditionalFormatting>
  <conditionalFormatting sqref="VM4:VS5">
    <cfRule type="expression" dxfId="35" priority="152">
      <formula>VM$4=TODAY()</formula>
    </cfRule>
  </conditionalFormatting>
  <conditionalFormatting sqref="VT4:VZ5">
    <cfRule type="expression" dxfId="34" priority="148">
      <formula>VT$4=TODAY()</formula>
    </cfRule>
  </conditionalFormatting>
  <conditionalFormatting sqref="WA4:WG5">
    <cfRule type="expression" dxfId="33" priority="144">
      <formula>WA$4=TODAY()</formula>
    </cfRule>
  </conditionalFormatting>
  <conditionalFormatting sqref="WH4:WN5">
    <cfRule type="expression" dxfId="32" priority="140">
      <formula>WH$4=TODAY()</formula>
    </cfRule>
  </conditionalFormatting>
  <conditionalFormatting sqref="WO4:WU5">
    <cfRule type="expression" dxfId="31" priority="136">
      <formula>WO$4=TODAY()</formula>
    </cfRule>
  </conditionalFormatting>
  <conditionalFormatting sqref="WV4:XB5">
    <cfRule type="expression" dxfId="30" priority="132">
      <formula>WV$4=TODAY()</formula>
    </cfRule>
  </conditionalFormatting>
  <conditionalFormatting sqref="XC4:XI5">
    <cfRule type="expression" dxfId="29" priority="128">
      <formula>XC$4=TODAY()</formula>
    </cfRule>
  </conditionalFormatting>
  <conditionalFormatting sqref="XJ4:XP5">
    <cfRule type="expression" dxfId="28" priority="124">
      <formula>XJ$4=TODAY()</formula>
    </cfRule>
  </conditionalFormatting>
  <conditionalFormatting sqref="XQ4:XW5">
    <cfRule type="expression" dxfId="27" priority="120">
      <formula>XQ$4=TODAY()</formula>
    </cfRule>
  </conditionalFormatting>
  <conditionalFormatting sqref="XX4:YD5">
    <cfRule type="expression" dxfId="26" priority="116">
      <formula>XX$4=TODAY()</formula>
    </cfRule>
  </conditionalFormatting>
  <conditionalFormatting sqref="YE4:YK5">
    <cfRule type="expression" dxfId="25" priority="112">
      <formula>YE$4=TODAY()</formula>
    </cfRule>
  </conditionalFormatting>
  <conditionalFormatting sqref="YL4:YR5">
    <cfRule type="expression" dxfId="24" priority="108">
      <formula>YL$4=TODAY()</formula>
    </cfRule>
  </conditionalFormatting>
  <conditionalFormatting sqref="YS4:YY5">
    <cfRule type="expression" dxfId="23" priority="104">
      <formula>YS$4=TODAY()</formula>
    </cfRule>
  </conditionalFormatting>
  <conditionalFormatting sqref="YZ4:ZF5">
    <cfRule type="expression" dxfId="22" priority="100">
      <formula>YZ$4=TODAY()</formula>
    </cfRule>
  </conditionalFormatting>
  <conditionalFormatting sqref="ZG4:ZM5">
    <cfRule type="expression" dxfId="21" priority="96">
      <formula>ZG$4=TODAY()</formula>
    </cfRule>
  </conditionalFormatting>
  <conditionalFormatting sqref="ZN4:ZT5">
    <cfRule type="expression" dxfId="20" priority="92">
      <formula>ZN$4=TODAY()</formula>
    </cfRule>
  </conditionalFormatting>
  <conditionalFormatting sqref="ZU4:AAA5">
    <cfRule type="expression" dxfId="19" priority="88">
      <formula>ZU$4=TODAY()</formula>
    </cfRule>
  </conditionalFormatting>
  <conditionalFormatting sqref="AAB4:AAH5">
    <cfRule type="expression" dxfId="18" priority="84">
      <formula>AAB$4=TODAY()</formula>
    </cfRule>
  </conditionalFormatting>
  <conditionalFormatting sqref="AAI4:AAO5">
    <cfRule type="expression" dxfId="17" priority="80">
      <formula>AAI$4=TODAY()</formula>
    </cfRule>
  </conditionalFormatting>
  <conditionalFormatting sqref="AAP4:AAV5">
    <cfRule type="expression" dxfId="16" priority="76">
      <formula>AAP$4=TODAY()</formula>
    </cfRule>
  </conditionalFormatting>
  <conditionalFormatting sqref="AAW4:ABC5">
    <cfRule type="expression" dxfId="15" priority="72">
      <formula>AAW$4=TODAY()</formula>
    </cfRule>
  </conditionalFormatting>
  <conditionalFormatting sqref="ABD4:ABJ5">
    <cfRule type="expression" dxfId="14" priority="68">
      <formula>ABD$4=TODAY()</formula>
    </cfRule>
  </conditionalFormatting>
  <conditionalFormatting sqref="ABK4:ABQ5">
    <cfRule type="expression" dxfId="13" priority="64">
      <formula>ABK$4=TODAY()</formula>
    </cfRule>
  </conditionalFormatting>
  <conditionalFormatting sqref="ABR4:ABX5">
    <cfRule type="expression" dxfId="12" priority="60">
      <formula>ABR$4=TODAY()</formula>
    </cfRule>
  </conditionalFormatting>
  <conditionalFormatting sqref="ABY4:ACE5">
    <cfRule type="expression" dxfId="11" priority="56">
      <formula>ABY$4=TODAY()</formula>
    </cfRule>
  </conditionalFormatting>
  <conditionalFormatting sqref="ACF4:ACL5">
    <cfRule type="expression" dxfId="10" priority="52">
      <formula>ACF$4=TODAY()</formula>
    </cfRule>
  </conditionalFormatting>
  <conditionalFormatting sqref="ACM4:ACS5">
    <cfRule type="expression" dxfId="9" priority="48">
      <formula>ACM$4=TODAY()</formula>
    </cfRule>
  </conditionalFormatting>
  <conditionalFormatting sqref="ACT4:ACZ5">
    <cfRule type="expression" dxfId="8" priority="44">
      <formula>ACT$4=TODAY()</formula>
    </cfRule>
  </conditionalFormatting>
  <conditionalFormatting sqref="ADA4:ADG5">
    <cfRule type="expression" dxfId="7" priority="40">
      <formula>ADA$4=TODAY()</formula>
    </cfRule>
  </conditionalFormatting>
  <conditionalFormatting sqref="ADH4:ADN5">
    <cfRule type="expression" dxfId="6" priority="36">
      <formula>ADH$4=TODAY()</formula>
    </cfRule>
  </conditionalFormatting>
  <conditionalFormatting sqref="ADO4:ADU5">
    <cfRule type="expression" dxfId="5" priority="32">
      <formula>ADO$4=TODAY()</formula>
    </cfRule>
  </conditionalFormatting>
  <conditionalFormatting sqref="ADV4:AEB5">
    <cfRule type="expression" dxfId="4" priority="28">
      <formula>ADV$4=TODAY()</formula>
    </cfRule>
  </conditionalFormatting>
  <conditionalFormatting sqref="AEC4:AEI5">
    <cfRule type="expression" dxfId="3" priority="24">
      <formula>AEC$4=TODAY()</formula>
    </cfRule>
  </conditionalFormatting>
  <conditionalFormatting sqref="AEJ4:AEP5">
    <cfRule type="expression" dxfId="2" priority="20">
      <formula>AEJ$4=TODAY()</formula>
    </cfRule>
  </conditionalFormatting>
  <conditionalFormatting sqref="AEQ4:AEW5">
    <cfRule type="expression" dxfId="1" priority="16">
      <formula>AEQ$4=TODAY()</formula>
    </cfRule>
  </conditionalFormatting>
  <conditionalFormatting sqref="AEX4:AFD5">
    <cfRule type="expression" dxfId="0" priority="12">
      <formula>AEX$4=TODAY()</formula>
    </cfRule>
  </conditionalFormatting>
  <conditionalFormatting sqref="H11:H12">
    <cfRule type="dataBar" priority="3">
      <dataBar>
        <cfvo type="num" val="0"/>
        <cfvo type="num" val="1"/>
        <color theme="0" tint="-0.34998626667073579"/>
      </dataBar>
      <extLst>
        <ext xmlns:x14="http://schemas.microsoft.com/office/spreadsheetml/2009/9/main" uri="{B025F937-C7B1-47D3-B67F-A62EFF666E3E}">
          <x14:id>{E209B824-B9CA-48AB-80CB-9836F3AEDEFE}</x14:id>
        </ext>
      </extLst>
    </cfRule>
  </conditionalFormatting>
  <dataValidations disablePrompts="1" xWindow="656" yWindow="385" count="1">
    <dataValidation allowBlank="1" showInputMessage="1" promptTitle="Display Week" prompt="Enter the week number to display first in the Gantt Chart. The weeks are numbered starting from the week containing the Project Start Date." sqref="H3"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print="0" autoPict="0">
                <anchor moveWithCells="1">
                  <from>
                    <xdr:col>9</xdr:col>
                    <xdr:colOff>21167</xdr:colOff>
                    <xdr:row>0</xdr:row>
                    <xdr:rowOff>0</xdr:rowOff>
                  </from>
                  <to>
                    <xdr:col>163</xdr:col>
                    <xdr:colOff>12700</xdr:colOff>
                    <xdr:row>1</xdr:row>
                    <xdr:rowOff>12700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DB6F906-508C-452E-8C4D-FB9E1A5FD370}">
            <x14:dataBar minLength="0" maxLength="100" gradient="0">
              <x14:cfvo type="num">
                <xm:f>0</xm:f>
              </x14:cfvo>
              <x14:cfvo type="num">
                <xm:f>1</xm:f>
              </x14:cfvo>
              <x14:negativeFillColor rgb="FFFF0000"/>
              <x14:axisColor rgb="FF000000"/>
            </x14:dataBar>
          </x14:cfRule>
          <xm:sqref>H6:H10 H12</xm:sqref>
        </x14:conditionalFormatting>
        <x14:conditionalFormatting xmlns:xm="http://schemas.microsoft.com/office/excel/2006/main">
          <x14:cfRule type="dataBar" id="{E209B824-B9CA-48AB-80CB-9836F3AEDEFE}">
            <x14:dataBar minLength="0" maxLength="100" gradient="0">
              <x14:cfvo type="num">
                <xm:f>0</xm:f>
              </x14:cfvo>
              <x14:cfvo type="num">
                <xm:f>1</xm:f>
              </x14:cfvo>
              <x14:negativeFillColor rgb="FFFF0000"/>
              <x14:axisColor rgb="FF000000"/>
            </x14:dataBar>
          </x14:cfRule>
          <xm:sqref>H11:H12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dimension ref="A3:B13"/>
  <sheetViews>
    <sheetView topLeftCell="B1" workbookViewId="0">
      <selection activeCell="H34" sqref="H34"/>
    </sheetView>
  </sheetViews>
  <sheetFormatPr baseColWidth="10" defaultColWidth="11.46875" defaultRowHeight="14.35" x14ac:dyDescent="0.5"/>
  <cols>
    <col min="1" max="1" width="32.8203125" customWidth="1"/>
  </cols>
  <sheetData>
    <row r="3" spans="1:2" ht="15.75" customHeight="1" x14ac:dyDescent="0.5">
      <c r="A3" t="s">
        <v>519</v>
      </c>
      <c r="B3">
        <f ca="1">RANDBETWEEN(830,840)/10</f>
        <v>84</v>
      </c>
    </row>
    <row r="4" spans="1:2" ht="15.75" customHeight="1" x14ac:dyDescent="0.5">
      <c r="A4" t="s">
        <v>520</v>
      </c>
      <c r="B4" s="108">
        <f t="shared" ref="B4:B13" ca="1" si="0">RANDBETWEEN(830,840)/10</f>
        <v>83.2</v>
      </c>
    </row>
    <row r="5" spans="1:2" ht="15.75" customHeight="1" x14ac:dyDescent="0.5">
      <c r="A5" t="s">
        <v>521</v>
      </c>
      <c r="B5" s="108">
        <f t="shared" ca="1" si="0"/>
        <v>83.9</v>
      </c>
    </row>
    <row r="6" spans="1:2" ht="15.75" customHeight="1" x14ac:dyDescent="0.5">
      <c r="A6" t="s">
        <v>522</v>
      </c>
      <c r="B6" s="108">
        <f t="shared" ca="1" si="0"/>
        <v>84</v>
      </c>
    </row>
    <row r="7" spans="1:2" ht="15.75" customHeight="1" x14ac:dyDescent="0.5">
      <c r="A7" t="s">
        <v>523</v>
      </c>
      <c r="B7" s="108">
        <f t="shared" ca="1" si="0"/>
        <v>83.3</v>
      </c>
    </row>
    <row r="8" spans="1:2" ht="15.75" customHeight="1" x14ac:dyDescent="0.5">
      <c r="A8" t="s">
        <v>524</v>
      </c>
      <c r="B8" s="108">
        <f t="shared" ca="1" si="0"/>
        <v>83.9</v>
      </c>
    </row>
    <row r="9" spans="1:2" ht="29.2" customHeight="1" x14ac:dyDescent="0.5">
      <c r="A9" t="s">
        <v>525</v>
      </c>
      <c r="B9" s="108">
        <f t="shared" ca="1" si="0"/>
        <v>83.1</v>
      </c>
    </row>
    <row r="10" spans="1:2" ht="15.75" customHeight="1" x14ac:dyDescent="0.5">
      <c r="A10" t="s">
        <v>526</v>
      </c>
      <c r="B10" s="108">
        <f t="shared" ca="1" si="0"/>
        <v>83.3</v>
      </c>
    </row>
    <row r="11" spans="1:2" ht="29.2" customHeight="1" x14ac:dyDescent="0.5">
      <c r="A11" t="s">
        <v>527</v>
      </c>
      <c r="B11" s="108">
        <f t="shared" ca="1" si="0"/>
        <v>83.9</v>
      </c>
    </row>
    <row r="12" spans="1:2" ht="29.2" customHeight="1" x14ac:dyDescent="0.5">
      <c r="A12" t="s">
        <v>528</v>
      </c>
      <c r="B12" s="108">
        <f t="shared" ca="1" si="0"/>
        <v>83</v>
      </c>
    </row>
    <row r="13" spans="1:2" ht="29.2" customHeight="1" x14ac:dyDescent="0.5">
      <c r="A13" t="s">
        <v>529</v>
      </c>
      <c r="B13" s="108">
        <f t="shared" ca="1" si="0"/>
        <v>83.8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Diary</vt:lpstr>
      <vt:lpstr>Flash1</vt:lpstr>
      <vt:lpstr>Projekt Infos</vt:lpstr>
      <vt:lpstr>formulas</vt:lpstr>
      <vt:lpstr>Gantt</vt:lpstr>
      <vt:lpstr>My Weight</vt:lpstr>
      <vt:lpstr>Gantt!prevWBS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Akin</dc:creator>
  <cp:lastModifiedBy>Alan</cp:lastModifiedBy>
  <cp:lastPrinted>2020-01-21T08:27:28Z</cp:lastPrinted>
  <dcterms:created xsi:type="dcterms:W3CDTF">2016-05-07T05:32:19Z</dcterms:created>
  <dcterms:modified xsi:type="dcterms:W3CDTF">2020-08-16T10:26:46Z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